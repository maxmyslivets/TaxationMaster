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showInkAnnotation="0" codeName="ThisWorkbook" autoCompressPictures="0"/>
  <mc:AlternateContent xmlns:mc="http://schemas.openxmlformats.org/markup-compatibility/2006">
    <mc:Choice Requires="x15">
      <x15ac:absPath xmlns:x15ac="http://schemas.microsoft.com/office/spreadsheetml/2010/11/ac" url="C:\Projects\TaxationTool\"/>
    </mc:Choice>
  </mc:AlternateContent>
  <xr:revisionPtr revIDLastSave="0" documentId="13_ncr:1_{0E369F80-F29D-4B61-A6EF-E464C7D3FE4D}" xr6:coauthVersionLast="45" xr6:coauthVersionMax="47" xr10:uidLastSave="{00000000-0000-0000-0000-000000000000}"/>
  <bookViews>
    <workbookView xWindow="59340" yWindow="2490" windowWidth="21975" windowHeight="15915" tabRatio="500" firstSheet="1" activeTab="4" xr2:uid="{00000000-000D-0000-FFFF-FFFF00000000}"/>
  </bookViews>
  <sheets>
    <sheet name="_xlwings.conf" sheetId="2" state="hidden" r:id="rId1"/>
    <sheet name="Ведомость" sheetId="3" r:id="rId2"/>
    <sheet name="Автокад" sheetId="5" r:id="rId3"/>
    <sheet name="Зоны" sheetId="7" r:id="rId4"/>
    <sheet name="Зона 1" sheetId="8" r:id="rId5"/>
    <sheet name="Зона 2" sheetId="10" r:id="rId6"/>
  </sheets>
  <functionGroups builtInGroupCount="19">
    <functionGroup name="xlwings"/>
  </functionGroups>
  <calcPr calcId="181029"/>
  <extLst>
    <ext xmlns:x14="http://schemas.microsoft.com/office/spreadsheetml/2009/9/main" uri="{8193D73E-4604-4355-AFF4-8A2333D13BE4}">
      <x14:definedNames>
        <x14:definedName name="check_ambiguity">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get_is_shrub">
          <x14:argumentDescriptions count="1">
            <x14:argumentDescription index="0">Positional argument 1</x14:argumentDescription>
          </x14:argumentDescriptions>
        </x14:definedName>
        <x14:definedName name="identification_stump">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insert_stump">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H4" i="3" l="1"/>
  <c r="H16" i="3"/>
  <c r="H22" i="3"/>
  <c r="H25" i="3"/>
  <c r="H27" i="3"/>
  <c r="H5" i="3"/>
  <c r="H17" i="3"/>
  <c r="H24" i="3"/>
  <c r="H6" i="3"/>
  <c r="H18" i="3"/>
  <c r="H21" i="3"/>
  <c r="H14" i="3"/>
  <c r="H7" i="3"/>
  <c r="H19" i="3"/>
  <c r="H23" i="3"/>
  <c r="H15" i="3"/>
  <c r="H8" i="3"/>
  <c r="H20" i="3"/>
  <c r="H26" i="3"/>
  <c r="H9" i="3"/>
  <c r="H10" i="3"/>
  <c r="H13" i="3"/>
  <c r="H11" i="3"/>
  <c r="H12" i="3"/>
  <c r="H3" i="3"/>
  <c r="H2" i="3"/>
  <c r="I3" i="3"/>
  <c r="I16" i="3"/>
  <c r="I22" i="3"/>
  <c r="I20" i="3"/>
  <c r="J3" i="3"/>
  <c r="J22" i="3"/>
  <c r="J19" i="3"/>
  <c r="J12" i="3"/>
  <c r="J11" i="3"/>
  <c r="I10" i="3"/>
  <c r="J10" i="3"/>
  <c r="I2" i="3"/>
  <c r="I15" i="3"/>
  <c r="I19" i="3"/>
  <c r="I25" i="3"/>
  <c r="I12" i="3"/>
  <c r="J2" i="3"/>
  <c r="J17" i="3"/>
  <c r="J15" i="3"/>
  <c r="I7" i="3"/>
  <c r="I14" i="3"/>
  <c r="I27" i="3"/>
  <c r="I23" i="3"/>
  <c r="I6" i="3"/>
  <c r="I9" i="3"/>
  <c r="I26" i="3"/>
  <c r="I5" i="3"/>
  <c r="J5" i="3"/>
  <c r="J24" i="3"/>
  <c r="J14" i="3"/>
  <c r="J27" i="3"/>
  <c r="J23" i="3"/>
  <c r="J6" i="3"/>
  <c r="J9" i="3"/>
  <c r="I21" i="3"/>
  <c r="I11" i="3"/>
  <c r="J21" i="3"/>
  <c r="I24" i="3"/>
  <c r="J7" i="3"/>
  <c r="I13" i="3"/>
  <c r="I4" i="3"/>
  <c r="I18" i="3"/>
  <c r="J13" i="3"/>
  <c r="J4" i="3"/>
  <c r="J18" i="3"/>
  <c r="J8" i="3"/>
  <c r="J16" i="3"/>
  <c r="J20" i="3"/>
  <c r="J25" i="3"/>
  <c r="J26" i="3"/>
  <c r="I17" i="3"/>
  <c r="I8" i="3"/>
  <c r="K26" i="3"/>
  <c r="K23" i="3"/>
  <c r="K22" i="3"/>
  <c r="K6" i="3"/>
  <c r="K25" i="3"/>
  <c r="K27" i="3"/>
  <c r="K3" i="3"/>
  <c r="K19" i="3"/>
  <c r="K20" i="3"/>
  <c r="K14" i="3"/>
  <c r="K21" i="3"/>
  <c r="K16" i="3"/>
  <c r="K24" i="3"/>
  <c r="K10" i="3"/>
  <c r="K8" i="3"/>
  <c r="K5" i="3"/>
  <c r="K9" i="3"/>
  <c r="K18" i="3"/>
  <c r="K15" i="3"/>
  <c r="K2" i="3"/>
  <c r="K4" i="3"/>
  <c r="K17" i="3"/>
  <c r="K12" i="3"/>
  <c r="K13" i="3"/>
  <c r="K7" i="3"/>
  <c r="K11" i="3"/>
</calcChain>
</file>

<file path=xl/sharedStrings.xml><?xml version="1.0" encoding="utf-8"?>
<sst xmlns="http://schemas.openxmlformats.org/spreadsheetml/2006/main" count="574" uniqueCount="179">
  <si>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</si>
  <si>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</si>
  <si>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</si>
  <si>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</si>
  <si>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</si>
  <si>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</si>
  <si>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</si>
  <si>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</si>
  <si>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</si>
  <si>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</si>
  <si>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</si>
  <si>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</si>
  <si>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</si>
  <si>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</si>
  <si>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</si>
  <si>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Номер точки</t>
  </si>
  <si>
    <t>Наименование</t>
  </si>
  <si>
    <t>Количество</t>
  </si>
  <si>
    <t>Высота</t>
  </si>
  <si>
    <t>Толщина</t>
  </si>
  <si>
    <t>Состояние</t>
  </si>
  <si>
    <t>Хорошее</t>
  </si>
  <si>
    <t>-</t>
  </si>
  <si>
    <t>2 ствола</t>
  </si>
  <si>
    <t>Смородина чёрная</t>
  </si>
  <si>
    <t>3 ствола</t>
  </si>
  <si>
    <t>5х4</t>
  </si>
  <si>
    <t>6 стволов</t>
  </si>
  <si>
    <t>Хорошее; плохое</t>
  </si>
  <si>
    <t>Алыча</t>
  </si>
  <si>
    <t>береза</t>
  </si>
  <si>
    <t>14 м2</t>
  </si>
  <si>
    <t>ольха</t>
  </si>
  <si>
    <t>3,4</t>
  </si>
  <si>
    <t>Ольха серая</t>
  </si>
  <si>
    <t>2</t>
  </si>
  <si>
    <t>4,4,4,4,4,4</t>
  </si>
  <si>
    <t>16</t>
  </si>
  <si>
    <t>Ива ломкая</t>
  </si>
  <si>
    <t>54 ствола</t>
  </si>
  <si>
    <t>72 м2</t>
  </si>
  <si>
    <t>Яблоня домашняя</t>
  </si>
  <si>
    <t>1.5х4</t>
  </si>
  <si>
    <t>0.04х4</t>
  </si>
  <si>
    <t>1.5х2</t>
  </si>
  <si>
    <t>19 м.п.</t>
  </si>
  <si>
    <t>6 м.п.</t>
  </si>
  <si>
    <t>13 м2</t>
  </si>
  <si>
    <t>19а-в</t>
  </si>
  <si>
    <t>Берёза пушистая</t>
  </si>
  <si>
    <t>19 г</t>
  </si>
  <si>
    <t>20,21-22, 23</t>
  </si>
  <si>
    <t>5,4,8х2</t>
  </si>
  <si>
    <t>24-25</t>
  </si>
  <si>
    <t>26а</t>
  </si>
  <si>
    <t>27.2-27.3</t>
  </si>
  <si>
    <t>15 м2</t>
  </si>
  <si>
    <t>1.5х3</t>
  </si>
  <si>
    <t>0.03х3</t>
  </si>
  <si>
    <t>0.04х2</t>
  </si>
  <si>
    <t>5х14, 4х30, 3х8,2,1</t>
  </si>
  <si>
    <t>7х3,4х11, 2х40</t>
  </si>
  <si>
    <t>Кустарник</t>
  </si>
  <si>
    <t>Неоднозначность</t>
  </si>
  <si>
    <t>Пень</t>
  </si>
  <si>
    <t>Индекс</t>
  </si>
  <si>
    <t>Наименование (пень)</t>
  </si>
  <si>
    <t>1</t>
  </si>
  <si>
    <t>4</t>
  </si>
  <si>
    <t>5</t>
  </si>
  <si>
    <t>3</t>
  </si>
  <si>
    <t>6</t>
  </si>
  <si>
    <t>7</t>
  </si>
  <si>
    <t>8</t>
  </si>
  <si>
    <t>9</t>
  </si>
  <si>
    <t>10</t>
  </si>
  <si>
    <t>11</t>
  </si>
  <si>
    <t>12</t>
  </si>
  <si>
    <t>13</t>
  </si>
  <si>
    <t>14</t>
  </si>
  <si>
    <t>15</t>
  </si>
  <si>
    <t>17</t>
  </si>
  <si>
    <t>18</t>
  </si>
  <si>
    <t>20</t>
  </si>
  <si>
    <t>21</t>
  </si>
  <si>
    <t>22</t>
  </si>
  <si>
    <t>23</t>
  </si>
  <si>
    <t>24</t>
  </si>
  <si>
    <t>25</t>
  </si>
  <si>
    <t>26</t>
  </si>
  <si>
    <t>28</t>
  </si>
  <si>
    <t>27.1</t>
  </si>
  <si>
    <t>number_position</t>
  </si>
  <si>
    <t>split_number</t>
  </si>
  <si>
    <t>type</t>
  </si>
  <si>
    <t>geometry</t>
  </si>
  <si>
    <t>size</t>
  </si>
  <si>
    <t>POINT (3108.838205298518 1707.285109871409)</t>
  </si>
  <si>
    <t>Point</t>
  </si>
  <si>
    <t>POINT (3114.150988844972 1707.4695572873902)</t>
  </si>
  <si>
    <t>POINT (3115.690642463274 1707.5867820573599)</t>
  </si>
  <si>
    <t>POINT (3115.1004453425708 1706.18062074892)</t>
  </si>
  <si>
    <t>POINT (3114.699609216242 1705.0905155704238)</t>
  </si>
  <si>
    <t>POINT (3104.043722283615 1698.543651078497)</t>
  </si>
  <si>
    <t>POINT (3105.090899215862 1695.9481208535972)</t>
  </si>
  <si>
    <t>POINT (3106.332887793542 1693.7013226121771)</t>
  </si>
  <si>
    <t>POINT (3104.361115387819 1692.888423763281)</t>
  </si>
  <si>
    <t>POINT (3107.4888707400646 1689.420932022136)</t>
  </si>
  <si>
    <t>POINT (3111.379753263188 1713.542099550268)</t>
  </si>
  <si>
    <t>19а-г</t>
  </si>
  <si>
    <t>POINT (3115.8767179014208 1710.2258575299381)</t>
  </si>
  <si>
    <t>19а</t>
  </si>
  <si>
    <t>19б</t>
  </si>
  <si>
    <t>19в</t>
  </si>
  <si>
    <t>19г</t>
  </si>
  <si>
    <t>POINT (3115.0061404912108 1715.72499227971)</t>
  </si>
  <si>
    <t>POINT (3113.301828595038 1716.110113041026)</t>
  </si>
  <si>
    <t>POINT (3112.086560913637 1715.354679146507)</t>
  </si>
  <si>
    <t>POINT (3109.758842254726 1716.964399774057)</t>
  </si>
  <si>
    <t>POINT (3105.0233167174188 1709.065127000339)</t>
  </si>
  <si>
    <t>26,26а</t>
  </si>
  <si>
    <t>POINT (3102.168668723462 1708.5065675452358)</t>
  </si>
  <si>
    <t>27.1-27.3</t>
  </si>
  <si>
    <t>POINT (3102.4476191511308 1705.577447903106)</t>
  </si>
  <si>
    <t>POINT (3106.665839634858 1703.063361392738)</t>
  </si>
  <si>
    <t>Polygon</t>
  </si>
  <si>
    <t>POLYGON ((3106.916523995033 1690.249262830753, 3106.944478568458 1690.3174557094062, 3106.97247299092 1690.3886975266369, 3107.000521581055 1690.46292686241, 3107.0286386575 1690.5400822966892, 3107.056838538889 1690.620102409436, 3107.08513554386 1690.7029257806141, 3107.1135439910463 1690.788490990188, 3107.142078199087 1690.8767366181198, 3107.1707524866133 1690.967601244375, 3107.1995811722636 1691.061023448913, 3107.2285785746753 1691.156941811701, 3107.257759012481 1691.255294912699, 3107.2871368043184 1691.356021331874, 3107.316726268822 1691.4590596491862, 3107.346541724629 1691.5643484446, 3107.376597490374 1691.67182629808, 3107.4069078846946 1691.781431789588, 3107.4374872262233 1691.893103499087, 3107.4683498335994 1692.0067800065412, 3107.499510025456 1692.122399891914, 3107.530982120431 1692.2399017351681, 3107.562780437159 1692.3592241162671, 3107.594919294275 1692.4803056151748, 3107.627413010416 1692.603084811854, 3107.660275904218 1692.7275002862689, 3107.6935222943157 1692.853490618381, 3107.727166499345 1692.9809943881548, 3107.761222837944 1693.109950175555, 3107.795705628745 1693.240296560542, 3107.830629190386 1693.3719721230812, 3107.866007841502 1693.5049154431329, 3107.901855900728 1693.639065100666, 3107.975017518058 1693.910737748019, 3108.0502285914586 1694.186498704844, 3108.1276036700206 1694.465856610848, 3108.2072573028277 1694.7483201057391, 3108.289304038966 1695.0333978292222, 3108.373858427522 1695.320598421005, 3108.4610350175817 1695.6094305207932, 3108.550948358232 1695.899402768294, 3108.643712998559 1696.1900238032142, 3108.739443487648 1696.48080226526, 3108.838254374585 1696.7712467941378, 3108.9402602084583 1697.060866029555, 3109.045575538352 1697.349168611217, 3109.154314913353 1697.6356631788321, 3109.266592882548 1697.919858372106, 3109.382523995022 1698.201262830744, 3109.502119280667 1698.47945892081, 3109.6249756925954 1698.754323913786, 3109.75058666472 1699.025808807508, 3109.87844563096 1699.293864599816, 3110.00804602523 1699.558442288546, 3110.1388812814457 1699.8194928715368, 3110.2704448335244 1700.076967346625, 3110.402230115379 1700.330816711648, 3110.533730560929 1700.5809919644448, 3110.664439604089 1700.8274441028518, 3110.7938506787764 1701.070124124708, 3110.921457218904 1701.308983027849, 3111.046752658391 1701.543971810115, 3111.108375413492 1701.659999592743, 3111.169230431152 1701.7750414693412, 3111.229254390608 1701.889091314639, 3111.288383971102 1702.0021430033662, 3111.3465558518737 1702.114190410253, 3111.40370671216 1702.225227410028, 3111.459773231202 1702.3352478774218, 3111.514692088239 1702.444245687164, 3111.568399962511 1702.552214713984, 3111.6208335332562 1702.659148832612, 3111.6719294797167 1702.7650419177771, 3111.721624481128 1702.869887844209, 3111.7698552167326 1702.973680486638, 3111.816558365771 1703.076413719793, 3111.861670607479 1703.178081418405, 3111.905128621098 1703.278677457203, 3111.94686908587 1703.378195710916, 3111.9868286810292 1703.476630054274, 3112.0249440858192 1703.5739743620072, 3112.061151979478 1703.670222508845, 3112.095389041245 1703.7653683695182, 3112.1275919503605 1703.8594058187539, 3112.157697386065 1703.9523287312852, 3112.185642027596 1704.044130981839, 3112.211362554192 1704.1348064451458, 3112.234795645094 1704.224348995936, 3112.2558779795427 1704.312752508939, 3112.274546236776 1704.400010858883, 3112.290737096035 1704.486117920501, 3112.304387236557 1704.571067568519, 3112.315433337583 1704.65485367767, 3112.323812078352 1704.7374701226809, 3112.329460138103 1704.818910778283, 3112.3323141960773 1704.899169519206, 3112.332310931512 1704.978240220179, 3112.3293870236494 1705.0561167559329, 3112.3234791517248 1705.132793001196, 3112.314523994983 1705.208262830698, 3112.3024813727666 1705.282520697356, 3112.2874036648577 1705.3555633668302, 3112.2693663911436 1705.427388182967, 3112.24844507151 1705.497992489616, 3112.2247152258446 1705.5673736306242, 3112.1982523740367 1705.635528949837, 3112.169132035969 1705.702455791103, 3112.1374297315306 1705.76815149827, 3112.103220980611 1705.8326134151848, 3112.066581303095 1705.895838885696, 3112.027586218871 1705.957825253648, 3111.9863112478242 1706.018569862891, 3111.942831909844 1706.0780700572711, 3111.8972237248167 1706.136323180636, 3111.84956221263 1706.193326576832, 3111.799922893169 1706.249077589708, 3111.748381286324 1706.303573563111, 3111.69501291198 1706.356811840888, 3111.639893290024 1706.408789766886, 3111.583097940345 1706.459504684953, 3111.5247023828288 1706.5089539389357, 3111.4647821373633 1706.557134872683, 3111.4034127238347 1706.60404483004, 3111.340669662131 1706.649681154855, 3111.2766284721392 1706.694041190976, 3111.211364673748 1706.73712228225, 3111.14495378684 1706.7789217725242, 3111.0774713313067 1706.819437005645, 3111.008992827035 1706.858665325461, 3110.93959379391 1706.89660407582, 3110.86934975182 1706.933250600568, 3110.798336220652 1706.9686022435542, 3110.726628720293 1707.002656348623, 3110.654302770631 1707.035410259624, 3110.581433891552 1707.066861320405, 3110.508097602945 1707.097006874811, 3110.434369424695 1707.125844266691, 3110.36032487669 1707.153370839893, 3110.2860394788177 1707.179583938263, 3110.211588750965 1707.2044809056479, 3110.1370482130187 1707.2280590858968, 3110.062493384867 1707.2503158228562, 3109.987999786396 1707.271248460372, 3109.913642937492 1707.290854342295, 3109.839498358045 1707.3091308124688, 3109.76564156794 1707.326075214743, 3109.692148087064 1707.341684892965, 3109.619093435306 1707.3559571909811, 3109.5465531325517 1707.3688894526388, 3109.474602698689 1707.380479021786, 3109.403317653604 1707.390723242269, 3109.332773517185 1707.399619457938, 3109.263045809319 1707.407165012637, 3109.194210049893 1707.413357250215, 3109.126341758794 1707.418193514519, 3109.059516455909 1707.4216711493962, 3108.9938096611263 1707.4237874986939, 3108.9292968943323 1707.4245399062602, 3108.8660536754132 1707.423925715942, 3108.804155524258 1707.421942271586, 3108.743677960752 1707.41858691704, 3108.6846965047857 1707.413856996152, 3108.627286676241 1707.407749852768, 3108.5715239950105 1707.400262830737, 3108.517465521016 1707.391395517236, 3108.465094474344 1707.3811564727698, 3108.4143756151147 1707.369556501172, 3108.365273703452 1707.3566064062782, 3108.317753499477 1707.342316991921, 3108.2717797633118 1707.326699061937, 3108.22731725508 1707.30976342016, 3108.184330734903 1707.291520870424, 3108.1427849629026 1707.271982216565, 3108.1026446992028 1707.251158262416, 3108.063874703924 1707.2290598118132, 3108.026439737189 1707.2056976685901, 3107.990304559121 1707.181082636582, 3107.9554339298406 1707.1552255196218, 3107.921792609472 1707.1281371215468, 3107.889345358135 1707.09982824619, 3107.858056935955 1707.070309697385, 3107.827892103052 1707.0395922789678, 3107.798815619549 1707.007686794774, 3107.770792245569 1706.974604048635, 3107.7437867412327 1706.940354844389, 3107.717763866663 1706.904949985868, 3107.692688381983 1706.868400276907, 3107.668525047314 1706.8307165213419, 3107.645238622779 1706.7919095230059, 3107.6227938684997 1706.751990085734, 3107.601155544599 1706.710969013361, 3107.580288411198 1706.668857109722, 3107.56015722842 1706.6256651786498, 3107.540726756388 1706.581404023982, 3107.503826985047 1706.48971725919, 3107.469307178153 1706.393883246023, 3107.436885416686 1706.293988415159, 3107.406279781621 1706.190119197273, 3107.3772083539397 1706.0823620230428, 3107.3493892146194 1705.9708033231452, 3107.322540444636 1705.855529528255, 3107.296380124972 1705.7366270690509, 3107.270626336602 1705.61418237621, 3107.244997160506 1705.4882818804072, 3107.2192106776615 1705.35901201232, 3107.1929849690478 1705.2264592026252, 3107.1660381156407 1705.090709882, 3107.1380881984196 1704.951850481119, 3107.108853298365 1704.809967430662, 3107.078051496453 1704.665147161304, 3107.045400873662 1704.517476103722, 3107.010679878522 1704.367025529765, 3106.973908429763 1704.2138060759812, 3106.9351668136687 1704.0578132200878, 3106.894535316519 1703.899042439806, 3106.8520942246 1703.737489212854, 3106.8079238241917 1703.573149016952, 3106.7621044015773 1703.406017329819, 3106.714716243038 1703.2360896291739, 3106.665839634858 1703.063361392738, 3106.615554863318 1702.887828098228, 3106.563942214701 1702.709485223366, 3106.51108197529 1702.52832824587, 3106.457054431366 1702.344352643459, 3106.401939869213 1702.1575538938532, 3106.345818575113 1701.967927474772, 3106.288770835346 1701.775468863935, 3106.230876936197 1701.580173539061, 3106.1722171639476 1701.382036977869, 3106.1128718048803 1701.18105465808, 3106.052921145277 1700.977222057413, 3105.9924454714196 1700.770534653586, 3105.9315250695927 1700.56098792432, 3105.870240226078 1700.348577347333, 3105.808671227154 1700.1332984003461, 3105.746898359109 1699.9151465610778, 3105.6850019082203 1699.694117307247, 3105.623062160772 1699.470206116574, 3105.561159403049 1699.243408466778, 3105.49937392133 1699.013719835579, 3105.4377860019 1698.781135700695, 3105.376475931039 1698.545651539847, 3105.315523995031 1698.307262830753, 3105.2550119124603 1698.06603057547, 3105.1950271311107 1697.8222778734062, 3105.135658531072 1697.5763933483051, 3105.076994992433 1697.328765623912, 3105.019125395279 1697.079783323971, 3104.9621386196995 1696.829835072225, 3104.8511690536156 1696.3285952083029, 3104.7973640232867 1696.078080843613, 3104.7447973348826 1695.8281550221, 3104.693557868493 1695.579206367504, 3104.643734504204 1695.331623503573, 3104.5954161221052 1695.0857950540492, 3104.548691602283 1694.842109642677, 3104.503649824826 1694.600955893202, 3104.460379669821 1694.362722429368, 3104.418970017358 1694.127797874921, 3104.3795097475218 1693.896570853603, 3104.342087740404 1693.669429989161, 3104.324168860391 1693.557513310687, 3104.306792876089 1693.4467639053369, 3104.289970897513 1693.3372303510778, 3104.2737140346667 1693.228961225878, 3104.258033397568 1693.122005107704, 3104.242940096225 1693.0164105745262, 3104.228445240649 1692.9122262043109, 3104.214559940851 1692.809500575027, 3104.201295306842 1692.708282264643, 3104.188662448633 1692.6086198511262, 3104.176672476234 1692.5105619124438, 3104.165336499657 1692.4141570265658, 3104.1546656289142 1692.319453771459, 3104.144670974015 1692.226500725092, 3104.135363644969 1692.135346465433, 3104.126754751789 1692.046039570449, 3104.118855404486 1691.958628618109, 3104.111676713072 1691.8731621863822, 3104.1052297875567 1691.789688853233, 3104.09952573795 1691.708257196633, 3104.0945756742653 1691.628915794549, 3104.0903907065117 1691.551713224949, 3104.086981944699 1691.476698065801, 3104.0843604988427 1691.403918895074, 3104.082537478949 1691.333424290735, 3104.081523995033 1691.265262830751, 3104.081327228019 1691.1994670804972, 3104.0819386425 1691.136005554963, 3104.083345773987 1691.074830756545, 3104.08553615799 1691.0158951876379, 3104.0884973300176 1690.9591513506368, 3104.092216825578 1690.9045517479392, 3104.0966821801817 1690.852048881939, 3104.1018809293396 1690.801595255032, 3104.10780060856 1690.753143369614, 3104.1144287533507 1690.706645728081, 3104.1217528992242 1690.662054832829, 3104.129760581689 1690.6193231862521, 3104.138439336252 1690.578403290747, 3104.147776698426 1690.539247648709, 3104.1577602037187 1690.5018087625328, 3104.168377387641 1690.466039134616, 3104.179615785701 1690.431891267352, 3104.1914629334087 1690.3993176631382, 3104.2039063662737 1690.368270824369, 3104.2169336198053 1690.3387032534408, 3104.230532229513 1690.310567452749, 3104.244689730906 1690.283815924689, 3104.259393659494 1690.2584011716558, 3104.2746315507866 1690.234275696046, 3104.290390940293 1690.211392000255, 3104.306659363523 1690.1897025866779, 3104.340673453191 1690.149716615748, 3104.3765741038674 1690.1139378024218, 3104.4142615996257 1690.081986165865, 3104.453636224544 1690.053481725241, 3104.4945982626973 1690.028044499715, 3104.537047998161 1690.0052945084522, 3104.580885715011 1689.9848517706162, 3104.6260116973217 1689.966336305372, 3104.6723262291716 1689.949368131885, 3104.719729594636 1689.93356726932, 3104.7681220777886 1689.9185537368412, 3104.867475533467 1689.889368738801, 3104.9695888688125 1689.858773291082, 3105.021431201551 1689.841996696506, 3105.073664356432 1689.8237275470042, 3105.126188617533 1689.803585861741, 3105.178904268931 1689.781191659883, 3105.231728268434 1689.756306800795, 3105.284644268784 1689.7292605046468, 3105.390753577932 1689.670567842659, 3105.6040905713508 1689.547971930321, 3105.657659718966 1689.518985265161, 3105.711323479238 1689.491605645916, 3105.7650821786438 1689.466304132955, 3105.818936143657 1689.443551786651, 3105.872885700757 1689.423819667374, 3105.926931176418 1689.407578835499, 3105.9810728971142 1689.395300351394, 3106.035311189325 1689.387455275433, 3106.062466651771 1689.385342471872, 3106.089646379525 1689.3845146679862, 3106.116850413395 1689.385030746322, 3106.144078794192 1689.386949589426, 3106.171331562722 1689.390330079845, 3106.1986087597993 1689.395231100124, 3106.22591042623 1689.401711532811, 3106.253236602824 1689.4098302604511, 3106.280587330392 1689.419646165592, 3106.3079626497442 1689.43121813078, 3106.335362601687 1689.44460503856, 3106.3627872270345 1689.459865771481, 3106.3902365665913 1689.4770592120872, 3106.4177106611687 1689.496244242926, 3106.445209551579 1689.5174797465438, 3106.472733278628 1689.540824605488, 3106.5002818831267 1689.566337702304, 3106.527855405885 1689.594077919537, 3106.555453887712 1689.6241041397361, 3106.583077369416 1689.6564752454458, 3106.610725891809 1689.691250119214, 3106.638399495698 1689.728487643585, 3106.666098221894 1689.7682467011082, 3106.6938221112073 1689.810586174327, 3106.721571204446 1689.85556494579, 3106.7493455424183 1689.903241898043, 3106.777145165937 1689.953675913633, 3106.804970115809 1690.006925875105, 3106.832820432846 1690.063050665007, 3106.8606961578553 1690.122109165884, 3106.888597331648 1690.1841602602842, 3106.9165239950316 1690.249262830753, 3106.916523995033 1690.249262830753))</t>
  </si>
  <si>
    <t>POINT (3104.129760581689 1690.6193231862521)</t>
  </si>
  <si>
    <t>POINT (3075.965582309878 1696.6051757815592)</t>
  </si>
  <si>
    <t>POLYGON ((3075.045526933311 1693.2592293092591, 3075.194758500791 1693.1299633939661, 3075.377483772277 1693.016390747756, 3075.5855485154657 1692.921153298425, 3075.8107984980547 1692.846892973771, 3076.0450794877415 1692.796251701589, 3076.2802372522224 1692.771871409678, 3076.5081175591936 1692.776394025832, 3076.720577247193 1692.8124555238599, 3076.9122866512407 1692.8811787557072, 3077.0844395935683 1692.980178187522, 3077.23915202992 1693.1065723543609, 3077.378539916039 1693.257479791286, 3077.504719207669 1693.430019033353, 3077.619805860551 1693.621308615625, 3077.725915830431 1693.828467073159, 3077.8251650730467 1694.0486129410142, 3078.011545199472 1694.5163410479229, 3078.1957463162794 1695.0014848971232, 3078.3805002339195 1695.485853479346, 3078.541922436695 1695.960369320738, 3078.6054946962486 1696.191412660781, 3078.653166688575 1696.416969052209, 3078.6815826341667 1696.636030573884, 3078.687386753524 1696.847589304671, 3078.66722326714 1697.050637323432, 3078.617736395512 1697.244166709033, 3078.535570359136 1697.4271695403381, 3078.4173693785083 1697.598637896209, 3078.260832723202 1697.7572780777068, 3078.071735358675 1697.899608947718, 3077.8595836118266 1698.02113866707, 3077.6339039437294 1698.117369942908, 3077.4042228154512 1698.183805482379, 3077.180066688064 1698.21594799263, 3076.970962022641 1698.2093001808082, 3076.786431697904 1698.1593672160018, 3076.6324797697666 1698.0640725518829, 3076.5050051914 1697.928284298187, 3076.398104202838 1697.758109465734, 3076.3058730441107 1697.559655065344, 3076.222407955254 1697.3390281078382, 3076.141805176297 1697.1023356040341, 3075.965582309878 1696.6051757815592, 3075.746282594984 1696.107641920006, 3075.502063299126 1695.6209421334, 3075.260283183189 1695.1509866060571, 3075.048301008058 1694.703685522291, 3074.962033761072 1694.490377329346, 3074.893475534619 1694.284949066414, 3074.846046173811 1694.088139506532, 3074.823165523758 1693.9006874227402, 3074.828253429571 1693.723331588078, 3074.86472973636 1693.5568107755842, 3074.936014289236 1693.401863758298, 3075.045526933311 1693.2592293092591))</t>
  </si>
  <si>
    <t>POINT (3074.823165523758 1693.9006874227402)</t>
  </si>
  <si>
    <t>POINT (3092.268998306507 1693.40414713145)</t>
  </si>
  <si>
    <t>LineString</t>
  </si>
  <si>
    <t>LINESTRING (3092.268998306507 1693.40414713145, 3093.1339331649187 1712.252511477547)</t>
  </si>
  <si>
    <t>POINT (3099.2754038714006 1706.814426161843)</t>
  </si>
  <si>
    <t>LINESTRING (3099.2754038714006 1706.814426161843, 3097.4187151780247 1709.300406547605, 3094.335886693676 1708.740184617282)</t>
  </si>
  <si>
    <t>POINT (3103.397247052118 1686.4241498990618)</t>
  </si>
  <si>
    <t>POLYGON ((3106.4966015613422 1689.562929311654, 3106.472733278628 1689.540824605488, 3106.445209551579 1689.5174797465438, 3106.4177106611687 1689.496244242926, 3106.3902365665913 1689.4770592120872, 3106.3627872270345 1689.459865771481, 3106.335362601687 1689.44460503856, 3106.3079626497442 1689.43121813078, 3106.280587330392 1689.419646165592, 3106.253236602824 1689.4098302604511, 3106.22591042623 1689.401711532811, 3106.1986087597993 1689.395231100124, 3106.171331562722 1689.390330079845, 3106.144078794192 1689.386949589426, 3106.116850413395 1689.385030746322, 3106.089646379525 1689.3845146679862, 3106.062466651771 1689.385342471872, 3106.035311189325 1689.387455275433, 3105.9810728971142 1689.395300351394, 3105.926931176418 1689.407578835499, 3105.872885700757 1689.423819667374, 3105.818936143657 1689.443551786651, 3105.7650821786438 1689.466304132955, 3105.711323479238 1689.491605645916, 3105.657659718966 1689.518985265161, 3105.6040905713508 1689.547971930321, 3105.390753577932 1689.670567842659, 3105.284644268784 1689.7292605046468, 3105.231728268434 1689.756306800795, 3105.178904268931 1689.781191659883, 3105.126188617533 1689.803585861741, 3105.073664356432 1689.8237275470042, 3105.055182736527 1689.83019170713, 3104.9814258138267 1689.7845369286538, 3104.85395123546 1689.648748674958, 3104.747050246898 1689.4785738425062, 3104.654819088171 1689.280119442116, 3104.571353999314 1689.059492484609, 3104.490751220359 1688.822799980805, 3104.314528353938 1688.32564015833, 3104.0952286390448 1687.8281062967772, 3103.851009343186 1687.3414065101722, 3103.609229227249 1686.871450982829, 3103.397247052118 1686.4241498990618, 3103.3109798051332 1686.210841706117, 3103.24242157868 1686.005413443185, 3103.194992217872 1685.808603883303, 3103.1721115678192 1685.6211517995112, 3103.177199473631 1685.443795964849, 3103.21367578042 1685.277275152355, 3103.284960333297 1685.122328135069, 3103.394472977371 1684.979693686031, 3103.543704544851 1684.850427770738, 3103.7264298163377 1684.736855124527, 3103.934494559527 1684.641617675197, 3104.159744542116 1684.567357350542, 3104.3940255318016 1684.516716078361, 3104.629183296283 1684.492335786449, 3104.8570636032537 1684.496858402603, 3105.069523291253 1684.5329199006312, 3105.261232695301 1684.601643132479, 3105.433385637629 1684.700642564292, 3105.5880980739807 1684.8270367311318, 3105.7274859601002 1684.9779441680569, 3105.853665251729 1685.150483410126, 3105.968751904612 1685.341772992397, 3106.0748618744897 1685.548931449931, 3106.174111117108 1685.769077317786, 3106.3604912435326 1686.2368054246951, 3106.54469236034 1686.721949273895, 3106.729446277981 1687.206317856118, 3106.890868480756 1687.680833697509, 3106.95444074031 1687.911877037553, 3107.002112732635 1688.13743342898, 3107.030528678227 1688.356494950656, 3107.0363327975842 1688.568053681442, 3107.0161693112013 1688.7711017002039, 3106.9666824395727 1688.964631085805, 3106.884516403197 1689.147633917109, 3106.766315422568 1689.31910227298, 3106.609778767264 1689.4777424544782, 3106.4966015613422 1689.562929311654))</t>
  </si>
  <si>
    <t>POINT (3097.3196819427726 1694.2533347047422)</t>
  </si>
  <si>
    <t>POLYGON ((3100.4190364519973 1697.392114117334, 3100.395168169283 1697.370009411168, 3100.367644442234 1697.3466645522242, 3100.3401455518238 1697.3254290486059, 3100.312671457246 1697.306244017767, 3100.285222117689 1697.2890505771609, 3100.2577974923406 1697.2737898442401, 3100.2303975403993 1697.26040293646, 3100.203022221047 1697.248830971272, 3100.175671493479 1697.239015066131, 3100.148345316885 1697.230896338491, 3100.121043650454 1697.224415905804, 3100.093766453377 1697.2195148855249, 3100.066513684846 1697.2161343951059, 3100.039285304049 1697.2142155520019, 3100.0120812701803 1697.213699473666, 3099.984901542426 1697.214527277552, 3099.9577460799796 1697.216640081113, 3099.9035077877693 1697.224485157074, 3099.849366067072 1697.2367636411789, 3099.795320591411 1697.2530044730552, 3099.741371034312 1697.2727365923308, 3099.687517069299 1697.295488938635, 3099.6337583698933 1697.3207904515962, 3099.580094609621 1697.348170070841, 3099.526525462005 1697.3771567360009, 3099.313188468587 1697.499752648339, 3099.207079159439 1697.5584453103272, 3099.154163159088 1697.585491606475, 3099.101339159586 1697.6103764655631, 3099.048623508188 1697.632770667421, 3098.996099247087 1697.652912352684, 3098.977617627182 1697.65937651281, 3098.9038607044818 1697.6137217343341, 3098.776386126115 1697.477933480638, 3098.6694851375532 1697.307758648187, 3098.5772539788263 1697.109304247796, 3098.493788889969 1696.888677290289, 3098.413186111013 1696.651984786485, 3098.236963244593 1696.15482496401, 3098.0176635297 1695.657291102457, 3097.773444233841 1695.170591315853, 3097.5316641179043 1694.7006357885089, 3097.3196819427726 1694.2533347047422, 3097.233414695788 1694.040026511797, 3097.1648564693346 1693.834598248865, 3097.1174271085274 1693.637788688983, 3097.0945464584743 1693.450336605192, 3097.099634364286 1693.2729807705289, 3097.1361106710747 1693.106459958035, 3097.207395223952 1692.951512940749, 3097.316907868026 1692.808878491711, 3097.466139435506 1692.679612576418, 3097.6488647069928 1692.566039930207, 3097.8569294501817 1692.4708024808772, 3098.0821794327708 1692.3965421562218, 3098.316460422456 1692.3459008840412, 3098.551618186938 1692.321520592129, 3098.7794984939082 1692.3260432082832, 3098.991958181908 1692.3621047063111, 3099.183667585956 1692.430827938159, 3099.3558205282843 1692.5298273699718, 3099.510532964635 1692.6562215368122, 3099.649920850755 1692.8071289737368, 3099.776100142384 1692.979668215806, 3099.8911867952665 1693.170957798077, 3099.997296765145 1693.3781162556108, 3100.096546007763 1693.598262123466, 3100.282926134187 1694.065990230376, 3100.467127250995 1694.551134079575, 3100.651881168635 1695.035502661798, 3100.813303371411 1695.510018503189, 3100.876875630965 1695.741061843233, 3100.924547623289 1695.96661823466, 3100.9529635688814 1696.185679756336, 3100.9587676882393 1696.397238487122, 3100.938604201856 1696.600286505884, 3100.889117330228 1696.7938158914849, 3100.806951293852 1696.976818722789, 3100.6887503132234 1697.14828707866, 3100.532213657918 1697.306927260158, 3100.4190364519973 1697.392114117334))</t>
  </si>
  <si>
    <t>index</t>
  </si>
  <si>
    <t>27.2</t>
  </si>
  <si>
    <t>27.3</t>
  </si>
  <si>
    <t>POINT (3098.977617627182 1697.65937651281)</t>
  </si>
  <si>
    <t>POINT (3100.4190364519973 1697.392114117334)</t>
  </si>
  <si>
    <t>0.03х2</t>
  </si>
  <si>
    <t>0</t>
  </si>
  <si>
    <t>19</t>
  </si>
  <si>
    <t>27</t>
  </si>
  <si>
    <t>29</t>
  </si>
  <si>
    <t>30</t>
  </si>
  <si>
    <t>31</t>
  </si>
  <si>
    <t>32</t>
  </si>
  <si>
    <t>33</t>
  </si>
  <si>
    <t>34</t>
  </si>
  <si>
    <t>35</t>
  </si>
  <si>
    <t>5,5</t>
  </si>
  <si>
    <t>4,5</t>
  </si>
  <si>
    <t>5,5,5,5,5,5</t>
  </si>
  <si>
    <t>0.4</t>
  </si>
  <si>
    <t>0.01</t>
  </si>
  <si>
    <t>0.1</t>
  </si>
  <si>
    <t>0.2</t>
  </si>
  <si>
    <t>2.5</t>
  </si>
  <si>
    <t>0.08</t>
  </si>
  <si>
    <t>1.5</t>
  </si>
  <si>
    <t>0.06</t>
  </si>
  <si>
    <t>0.12</t>
  </si>
  <si>
    <t>0.5</t>
  </si>
  <si>
    <t>0.03</t>
  </si>
  <si>
    <t>0.07</t>
  </si>
  <si>
    <t>name</t>
  </si>
  <si>
    <t>Зона 1</t>
  </si>
  <si>
    <t>POLYGON ((3089.86853687141 1709.814916853105, 3119.998163227592 1712.652575184729, 3118.3306408775707 1704.5724397892934, 3116.6631185275487 1696.492304393858, 3088.43150073497 1702.318550037341, 3089.86853687141 1709.814916853105))</t>
  </si>
  <si>
    <t>Зона 2</t>
  </si>
  <si>
    <t>MULTIPOLYGON (((3117.421038375149 1688.159134470744, 3116.6631185275487 1696.492304393858, 3088.43150073497 1702.318550037341, 3073.500525734984 1700.2563416009589, 3073.109798843365 1696.2145034960058, 3115.715104025698 1684.635421588338, 3117.421038375149 1688.159134470744)), ((3109.7376036775877 1711.6862186176081, 3109.675011559375 1716.459185933584, 3115.913669906229 1716.5409989473528, 3114.8032232790556 1712.163307098462, 3109.7376036775877 1711.6862186176081)))</t>
  </si>
  <si>
    <t>Зона 3</t>
  </si>
  <si>
    <t>POLYGON ((3122.978988696761 1704.0782505312322, 3094.960168269963 1714.3721473362589, 3094.3185175654 1711.5924883234798, 3122.123443996261 1699.435304535838, 3122.978988696761 1704.0782505312322))</t>
  </si>
  <si>
    <t>origin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</si>
</sst>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b/>
      <sz val="12"/>
      <color theme="1"/>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7">
    <xf numFmtId="0" fontId="0" fillId="0" borderId="0" xfId="0"/>
    <xf numFmtId="0" fontId="0" fillId="0" borderId="0" xfId="0" applyAlignment="1">
      <alignment vertical="center"/>
    </xf>
    <xf numFmtId="0" fontId="1" fillId="0" borderId="0" xfId="0" applyFont="1" applyAlignment="1">
      <alignment vertical="center"/>
    </xf>
    <xf numFmtId="0" fontId="0" fillId="0" borderId="0" xfId="0" applyFill="1"/>
    <xf numFmtId="0" fontId="0" fillId="0" borderId="0" xfId="0" applyFill="1" applyAlignment="1">
      <alignment horizontal="left" vertical="center"/>
    </xf>
    <xf numFmtId="0" fontId="0" fillId="0" borderId="0" xfId="0" applyNumberFormat="1" applyFill="1" applyAlignment="1">
      <alignment horizontal="left" vertical="center"/>
    </xf>
    <xf numFmtId="0" fontId="0" fillId="0" borderId="0" xfId="0" applyNumberFormat="1" applyFill="1"/>
    <xf numFmtId="0" fontId="0" fillId="0" borderId="0" xfId="0" applyAlignment="1"/>
    <xf numFmtId="0" fontId="0" fillId="0" borderId="0" xfId="0" quotePrefix="1" applyAlignment="1"/>
    <xf numFmtId="49" fontId="0" fillId="0" borderId="0" xfId="0" applyNumberFormat="1" applyAlignment="1"/>
    <xf numFmtId="49" fontId="0" fillId="0" borderId="0" xfId="0" quotePrefix="1" applyNumberFormat="1" applyAlignment="1"/>
    <xf numFmtId="49" fontId="0" fillId="0" borderId="0" xfId="0" applyNumberFormat="1"/>
    <xf numFmtId="49" fontId="0" fillId="0" borderId="0" xfId="0" applyNumberFormat="1" applyBorder="1"/>
    <xf numFmtId="49" fontId="0" fillId="0" borderId="0" xfId="0" applyNumberFormat="1" applyFill="1" applyBorder="1"/>
    <xf numFmtId="49" fontId="0" fillId="0" borderId="0" xfId="0" quotePrefix="1" applyNumberFormat="1" applyFill="1" applyBorder="1" applyAlignment="1">
      <alignment horizontal="left" vertical="center"/>
    </xf>
    <xf numFmtId="49" fontId="0" fillId="0" borderId="0" xfId="0" applyNumberFormat="1" applyFill="1" applyBorder="1" applyAlignment="1">
      <alignment horizontal="left" vertical="center"/>
    </xf>
    <xf numFmtId="0" fontId="0" fillId="0" borderId="0" xfId="0" applyAlignment="1">
      <alignment horizontal="left" vertical="center"/>
    </xf>
  </cellXfs>
  <cellStyles count="1">
    <cellStyle name="Обычный" xfId="0" builtinId="0"/>
  </cellStyles>
  <dxfs count="12">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dxf>
    <dxf>
      <fill>
        <patternFill patternType="none">
          <fgColor indexed="64"/>
          <bgColor indexed="65"/>
        </patternFill>
      </fill>
      <alignment horizontal="left" vertical="center"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8EFDF1-B723-46B4-9F50-1063BCBAE74A}" name="Таблица4" displayName="Таблица4" ref="A1:K27" totalsRowShown="0" dataDxfId="11">
  <autoFilter ref="A1:K27" xr:uid="{C6CC160F-0828-463C-8245-C5178A82BA67}"/>
  <tableColumns count="11">
    <tableColumn id="1" xr3:uid="{94CA2649-933C-4B71-A9D3-923E1C51A74F}" name="Индекс" dataDxfId="10"/>
    <tableColumn id="2" xr3:uid="{3D451509-E281-40B6-AB43-E5B9D345E773}" name="Номер точки" dataDxfId="9"/>
    <tableColumn id="3" xr3:uid="{961869DA-E4C7-4EDA-A11F-7FA6D196FFB9}" name="Наименование" dataDxfId="8"/>
    <tableColumn id="4" xr3:uid="{A8968ED4-47AC-4334-9742-9783674652E2}" name="Количество" dataDxfId="7"/>
    <tableColumn id="5" xr3:uid="{FEC75C99-F86E-4F89-8E07-A631F9744506}" name="Высота" dataDxfId="6"/>
    <tableColumn id="6" xr3:uid="{4CC4139C-627D-4E6C-BD1A-37F5552D838C}" name="Толщина" dataDxfId="5"/>
    <tableColumn id="7" xr3:uid="{9196F1AD-B798-4552-BF50-50BDBCC56251}" name="Состояние" dataDxfId="4"/>
    <tableColumn id="8" xr3:uid="{4DD61DDF-A4AD-4C39-A7CC-FA902BA5B2E3}" name="Кустарник" dataDxfId="3">
      <calculatedColumnFormula>get_is_shrub(Таблица4[[#This Row],[Наименование]])</calculatedColumnFormula>
    </tableColumn>
    <tableColumn id="9" xr3:uid="{BBBF8061-12F8-4AFF-BCBF-4416100C4309}" name="Неоднозначность" dataDxfId="2">
      <calculatedColumnFormula>check_ambiguity(Таблица4[[#This Row],[Номер точки]],Таблица4[[#This Row],[Количество]],Таблица4[[#This Row],[Высота]],Таблица4[[#This Row],[Толщина]],Таблица4[[#This Row],[Кустарник]])</calculatedColumnFormula>
    </tableColumn>
    <tableColumn id="10" xr3:uid="{A4A69788-0577-432A-AC2E-69AFF7D57524}" name="Пень" dataDxfId="1">
      <calculatedColumnFormula>identification_stump(Таблица4[[#This Row],[Высота]],Таблица4[[#This Row],[Толщина]],Таблица4[[#This Row],[Кустарник]])</calculatedColumnFormula>
    </tableColumn>
    <tableColumn id="11" xr3:uid="{553357E2-CAB2-45A5-853A-D1B883674665}" name="Наименование (пень)" dataDxfId="0">
      <calculatedColumnFormula>insert_stump(Таблица4[[#This Row],[Наименование]],Таблица4[[#This Row],[Пень]])</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election activeCell="J15" sqref="J15"/>
    </sheetView>
  </sheetViews>
  <sheetFormatPr defaultColWidth="8.875" defaultRowHeight="15.75" x14ac:dyDescent="0.25"/>
  <cols>
    <col min="1" max="1" width="14.75" style="1" customWidth="1"/>
    <col min="2" max="2" width="9.25" style="1" customWidth="1"/>
    <col min="3" max="16384" width="8.875" style="1"/>
  </cols>
  <sheetData>
    <row r="1" spans="1:2" x14ac:dyDescent="0.25">
      <c r="A1" s="1" t="s">
        <v>8</v>
      </c>
      <c r="B1" s="1" t="s">
        <v>13</v>
      </c>
    </row>
    <row r="2" spans="1:2" x14ac:dyDescent="0.25">
      <c r="A2" s="1" t="s">
        <v>9</v>
      </c>
    </row>
    <row r="3" spans="1:2" x14ac:dyDescent="0.25">
      <c r="A3" s="1" t="s">
        <v>0</v>
      </c>
    </row>
    <row r="4" spans="1:2" x14ac:dyDescent="0.25">
      <c r="A4" s="1" t="s">
        <v>7</v>
      </c>
    </row>
    <row r="5" spans="1:2" x14ac:dyDescent="0.25">
      <c r="A5" s="1" t="s">
        <v>5</v>
      </c>
    </row>
    <row r="6" spans="1:2" x14ac:dyDescent="0.25">
      <c r="A6" s="1" t="s">
        <v>1</v>
      </c>
    </row>
    <row r="7" spans="1:2" x14ac:dyDescent="0.25">
      <c r="A7" s="1" t="s">
        <v>2</v>
      </c>
      <c r="B7" s="1" t="b">
        <v>0</v>
      </c>
    </row>
    <row r="8" spans="1:2" x14ac:dyDescent="0.25">
      <c r="A8" s="1" t="s">
        <v>3</v>
      </c>
      <c r="B8" s="1" t="b">
        <v>0</v>
      </c>
    </row>
    <row r="9" spans="1:2" x14ac:dyDescent="0.25">
      <c r="A9" s="1" t="s">
        <v>14</v>
      </c>
      <c r="B9" s="1" t="b">
        <v>0</v>
      </c>
    </row>
    <row r="13" spans="1:2" x14ac:dyDescent="0.25">
      <c r="A13" s="2" t="s">
        <v>4</v>
      </c>
    </row>
    <row r="14" spans="1:2" x14ac:dyDescent="0.25">
      <c r="A14" s="1" t="s">
        <v>10</v>
      </c>
    </row>
    <row r="15" spans="1:2" x14ac:dyDescent="0.25">
      <c r="A15" s="1" t="s">
        <v>11</v>
      </c>
    </row>
    <row r="16" spans="1:2" x14ac:dyDescent="0.25">
      <c r="A16" s="1" t="s">
        <v>6</v>
      </c>
    </row>
    <row r="17" spans="1:1" x14ac:dyDescent="0.25">
      <c r="A17" s="1" t="s">
        <v>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69F3D-C429-4B77-A743-2C08BAD75354}">
  <sheetPr codeName="Лист1">
    <tabColor rgb="FFFFC000"/>
  </sheetPr>
  <dimension ref="A1:L27"/>
  <sheetViews>
    <sheetView workbookViewId="0">
      <selection activeCell="B1" sqref="B1"/>
    </sheetView>
  </sheetViews>
  <sheetFormatPr defaultRowHeight="15.75" x14ac:dyDescent="0.25"/>
  <cols>
    <col min="1" max="1" width="9.125" style="11" customWidth="1"/>
    <col min="2" max="2" width="14.125" style="11" customWidth="1"/>
    <col min="3" max="3" width="16" style="11" customWidth="1"/>
    <col min="4" max="4" width="12.875" style="11" customWidth="1"/>
    <col min="5" max="5" width="18.875" style="11" customWidth="1"/>
    <col min="6" max="6" width="14" style="11" customWidth="1"/>
    <col min="7" max="7" width="15.375" style="11" customWidth="1"/>
    <col min="8" max="8" width="12" customWidth="1"/>
    <col min="9" max="9" width="18.375" customWidth="1"/>
    <col min="11" max="11" width="22" customWidth="1"/>
  </cols>
  <sheetData>
    <row r="1" spans="1:12" x14ac:dyDescent="0.25">
      <c r="A1" s="12" t="s">
        <v>65</v>
      </c>
      <c r="B1" s="12" t="s">
        <v>15</v>
      </c>
      <c r="C1" s="12" t="s">
        <v>16</v>
      </c>
      <c r="D1" s="12" t="s">
        <v>17</v>
      </c>
      <c r="E1" s="12" t="s">
        <v>18</v>
      </c>
      <c r="F1" s="12" t="s">
        <v>19</v>
      </c>
      <c r="G1" s="12" t="s">
        <v>20</v>
      </c>
      <c r="H1" t="s">
        <v>62</v>
      </c>
      <c r="I1" t="s">
        <v>63</v>
      </c>
      <c r="J1" t="s">
        <v>64</v>
      </c>
      <c r="K1" t="s">
        <v>66</v>
      </c>
    </row>
    <row r="2" spans="1:12" s="3" customFormat="1" x14ac:dyDescent="0.25">
      <c r="A2" s="13" t="s">
        <v>146</v>
      </c>
      <c r="B2" s="14" t="s">
        <v>67</v>
      </c>
      <c r="C2" s="15" t="s">
        <v>30</v>
      </c>
      <c r="D2" s="15" t="s">
        <v>31</v>
      </c>
      <c r="E2" s="15" t="s">
        <v>67</v>
      </c>
      <c r="F2" s="15" t="s">
        <v>161</v>
      </c>
      <c r="G2" s="15" t="s">
        <v>21</v>
      </c>
      <c r="H2"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2"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2"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2"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2" s="6"/>
    </row>
    <row r="3" spans="1:12" s="3" customFormat="1" x14ac:dyDescent="0.25">
      <c r="A3" s="13" t="s">
        <v>67</v>
      </c>
      <c r="B3" s="14" t="s">
        <v>35</v>
      </c>
      <c r="C3" s="15" t="s">
        <v>32</v>
      </c>
      <c r="D3" s="15" t="s">
        <v>31</v>
      </c>
      <c r="E3" s="15" t="s">
        <v>163</v>
      </c>
      <c r="F3" s="15" t="s">
        <v>164</v>
      </c>
      <c r="G3" s="15" t="s">
        <v>21</v>
      </c>
      <c r="H3"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3"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3"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3"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3" s="6"/>
    </row>
    <row r="4" spans="1:12" s="3" customFormat="1" x14ac:dyDescent="0.25">
      <c r="A4" s="13" t="s">
        <v>35</v>
      </c>
      <c r="B4" s="14" t="s">
        <v>33</v>
      </c>
      <c r="C4" s="15" t="s">
        <v>34</v>
      </c>
      <c r="D4" s="15" t="s">
        <v>35</v>
      </c>
      <c r="E4" s="15" t="s">
        <v>156</v>
      </c>
      <c r="F4" s="15" t="s">
        <v>157</v>
      </c>
      <c r="G4" s="15" t="s">
        <v>21</v>
      </c>
      <c r="H4"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4"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4"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4"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4" s="6"/>
    </row>
    <row r="5" spans="1:12" s="3" customFormat="1" x14ac:dyDescent="0.25">
      <c r="A5" s="13" t="s">
        <v>70</v>
      </c>
      <c r="B5" s="14" t="s">
        <v>69</v>
      </c>
      <c r="C5" s="15" t="s">
        <v>30</v>
      </c>
      <c r="D5" s="15" t="s">
        <v>27</v>
      </c>
      <c r="E5" s="15" t="s">
        <v>36</v>
      </c>
      <c r="F5" s="15" t="s">
        <v>158</v>
      </c>
      <c r="G5" s="15" t="s">
        <v>21</v>
      </c>
      <c r="H5"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5"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5"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5"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5" s="6"/>
    </row>
    <row r="6" spans="1:12" s="3" customFormat="1" x14ac:dyDescent="0.25">
      <c r="A6" s="13" t="s">
        <v>68</v>
      </c>
      <c r="B6" s="14" t="s">
        <v>71</v>
      </c>
      <c r="C6" s="15" t="s">
        <v>38</v>
      </c>
      <c r="D6" s="15" t="s">
        <v>39</v>
      </c>
      <c r="E6" s="15" t="s">
        <v>60</v>
      </c>
      <c r="F6" s="15" t="s">
        <v>61</v>
      </c>
      <c r="G6" s="15" t="s">
        <v>21</v>
      </c>
      <c r="H6"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6"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6"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6"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6" s="6"/>
    </row>
    <row r="7" spans="1:12" x14ac:dyDescent="0.25">
      <c r="A7" s="13" t="s">
        <v>69</v>
      </c>
      <c r="B7" s="14" t="s">
        <v>72</v>
      </c>
      <c r="C7" s="15" t="s">
        <v>30</v>
      </c>
      <c r="D7" s="15" t="s">
        <v>67</v>
      </c>
      <c r="E7" s="15" t="s">
        <v>163</v>
      </c>
      <c r="F7" s="15" t="s">
        <v>161</v>
      </c>
      <c r="G7" s="15" t="s">
        <v>21</v>
      </c>
      <c r="H7"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7"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7"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7"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7" s="6"/>
    </row>
    <row r="8" spans="1:12" x14ac:dyDescent="0.25">
      <c r="A8" s="13" t="s">
        <v>71</v>
      </c>
      <c r="B8" s="14" t="s">
        <v>73</v>
      </c>
      <c r="C8" s="15" t="s">
        <v>30</v>
      </c>
      <c r="D8" s="15" t="s">
        <v>40</v>
      </c>
      <c r="E8" s="15" t="s">
        <v>165</v>
      </c>
      <c r="F8" s="15" t="s">
        <v>162</v>
      </c>
      <c r="G8" s="15" t="s">
        <v>21</v>
      </c>
      <c r="H8"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8"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8"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8"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8" s="6"/>
    </row>
    <row r="9" spans="1:12" x14ac:dyDescent="0.25">
      <c r="A9" s="13" t="s">
        <v>72</v>
      </c>
      <c r="B9" s="14" t="s">
        <v>74</v>
      </c>
      <c r="C9" s="15" t="s">
        <v>32</v>
      </c>
      <c r="D9" s="15" t="s">
        <v>40</v>
      </c>
      <c r="E9" s="15" t="s">
        <v>35</v>
      </c>
      <c r="F9" s="15" t="s">
        <v>166</v>
      </c>
      <c r="G9" s="15" t="s">
        <v>21</v>
      </c>
      <c r="H9"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9"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9"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9"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9" s="6"/>
    </row>
    <row r="10" spans="1:12" x14ac:dyDescent="0.25">
      <c r="A10" s="13" t="s">
        <v>73</v>
      </c>
      <c r="B10" s="14" t="s">
        <v>75</v>
      </c>
      <c r="C10" s="15" t="s">
        <v>41</v>
      </c>
      <c r="D10" s="15" t="s">
        <v>23</v>
      </c>
      <c r="E10" s="15" t="s">
        <v>44</v>
      </c>
      <c r="F10" s="15" t="s">
        <v>59</v>
      </c>
      <c r="G10" s="15" t="s">
        <v>21</v>
      </c>
      <c r="H10"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10"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10"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10"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10" s="6"/>
    </row>
    <row r="11" spans="1:12" x14ac:dyDescent="0.25">
      <c r="A11" s="13" t="s">
        <v>74</v>
      </c>
      <c r="B11" s="14" t="s">
        <v>76</v>
      </c>
      <c r="C11" s="15" t="s">
        <v>41</v>
      </c>
      <c r="D11" s="15" t="s">
        <v>68</v>
      </c>
      <c r="E11" s="15" t="s">
        <v>42</v>
      </c>
      <c r="F11" s="15" t="s">
        <v>43</v>
      </c>
      <c r="G11" s="15" t="s">
        <v>21</v>
      </c>
      <c r="H11"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11"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11"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11"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11" s="6"/>
    </row>
    <row r="12" spans="1:12" x14ac:dyDescent="0.25">
      <c r="A12" s="13" t="s">
        <v>75</v>
      </c>
      <c r="B12" s="14" t="s">
        <v>77</v>
      </c>
      <c r="C12" s="15" t="s">
        <v>41</v>
      </c>
      <c r="D12" s="15" t="s">
        <v>70</v>
      </c>
      <c r="E12" s="15" t="s">
        <v>57</v>
      </c>
      <c r="F12" s="15" t="s">
        <v>58</v>
      </c>
      <c r="G12" s="15" t="s">
        <v>21</v>
      </c>
      <c r="H12"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12"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12"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12"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12" s="6"/>
    </row>
    <row r="13" spans="1:12" x14ac:dyDescent="0.25">
      <c r="A13" s="13" t="s">
        <v>76</v>
      </c>
      <c r="B13" s="14" t="s">
        <v>78</v>
      </c>
      <c r="C13" s="15" t="s">
        <v>41</v>
      </c>
      <c r="D13" s="15" t="s">
        <v>23</v>
      </c>
      <c r="E13" s="15" t="s">
        <v>44</v>
      </c>
      <c r="F13" s="15" t="s">
        <v>59</v>
      </c>
      <c r="G13" s="15" t="s">
        <v>28</v>
      </c>
      <c r="H13"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13" s="5"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13" s="5"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13"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13" s="6"/>
    </row>
    <row r="14" spans="1:12" x14ac:dyDescent="0.25">
      <c r="A14" s="13" t="s">
        <v>77</v>
      </c>
      <c r="B14" s="14" t="s">
        <v>79</v>
      </c>
      <c r="C14" s="15" t="s">
        <v>41</v>
      </c>
      <c r="D14" s="15" t="s">
        <v>35</v>
      </c>
      <c r="E14" s="15" t="s">
        <v>44</v>
      </c>
      <c r="F14" s="15" t="s">
        <v>145</v>
      </c>
      <c r="G14" s="15" t="s">
        <v>21</v>
      </c>
      <c r="H14"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14"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14"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14"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14" s="6"/>
    </row>
    <row r="15" spans="1:12" x14ac:dyDescent="0.25">
      <c r="A15" s="13" t="s">
        <v>78</v>
      </c>
      <c r="B15" s="14" t="s">
        <v>80</v>
      </c>
      <c r="C15" s="15" t="s">
        <v>29</v>
      </c>
      <c r="D15" s="15" t="s">
        <v>45</v>
      </c>
      <c r="E15" s="15" t="s">
        <v>35</v>
      </c>
      <c r="F15" s="15" t="s">
        <v>170</v>
      </c>
      <c r="G15" s="15" t="s">
        <v>21</v>
      </c>
      <c r="H15"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15"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15"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15"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15" s="6"/>
    </row>
    <row r="16" spans="1:12" x14ac:dyDescent="0.25">
      <c r="A16" s="13" t="s">
        <v>79</v>
      </c>
      <c r="B16" s="14" t="s">
        <v>37</v>
      </c>
      <c r="C16" s="15" t="s">
        <v>29</v>
      </c>
      <c r="D16" s="15" t="s">
        <v>46</v>
      </c>
      <c r="E16" s="15" t="s">
        <v>70</v>
      </c>
      <c r="F16" s="15" t="s">
        <v>167</v>
      </c>
      <c r="G16" s="15" t="s">
        <v>21</v>
      </c>
      <c r="H16"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16"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16"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16"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16" s="6"/>
    </row>
    <row r="17" spans="1:12" x14ac:dyDescent="0.25">
      <c r="A17" s="13" t="s">
        <v>80</v>
      </c>
      <c r="B17" s="14" t="s">
        <v>81</v>
      </c>
      <c r="C17" s="15" t="s">
        <v>24</v>
      </c>
      <c r="D17" s="15" t="s">
        <v>47</v>
      </c>
      <c r="E17" s="15" t="s">
        <v>168</v>
      </c>
      <c r="F17" s="15" t="s">
        <v>22</v>
      </c>
      <c r="G17" s="15" t="s">
        <v>21</v>
      </c>
      <c r="H17"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17"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17"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17"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17" s="6"/>
    </row>
    <row r="18" spans="1:12" x14ac:dyDescent="0.25">
      <c r="A18" s="13" t="s">
        <v>37</v>
      </c>
      <c r="B18" s="14" t="s">
        <v>82</v>
      </c>
      <c r="C18" s="15" t="s">
        <v>24</v>
      </c>
      <c r="D18" s="15" t="s">
        <v>67</v>
      </c>
      <c r="E18" s="15" t="s">
        <v>168</v>
      </c>
      <c r="F18" s="15" t="s">
        <v>22</v>
      </c>
      <c r="G18" s="15" t="s">
        <v>21</v>
      </c>
      <c r="H18"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18"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18"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18"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18" s="6"/>
    </row>
    <row r="19" spans="1:12" x14ac:dyDescent="0.25">
      <c r="A19" s="13" t="s">
        <v>81</v>
      </c>
      <c r="B19" s="14" t="s">
        <v>48</v>
      </c>
      <c r="C19" s="15" t="s">
        <v>49</v>
      </c>
      <c r="D19" s="15" t="s">
        <v>70</v>
      </c>
      <c r="E19" s="15" t="s">
        <v>159</v>
      </c>
      <c r="F19" s="15" t="s">
        <v>160</v>
      </c>
      <c r="G19" s="15" t="s">
        <v>21</v>
      </c>
      <c r="H19"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19"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19"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19"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19" s="6"/>
    </row>
    <row r="20" spans="1:12" x14ac:dyDescent="0.25">
      <c r="A20" s="13" t="s">
        <v>82</v>
      </c>
      <c r="B20" s="14" t="s">
        <v>50</v>
      </c>
      <c r="C20" s="15" t="s">
        <v>49</v>
      </c>
      <c r="D20" s="15" t="s">
        <v>67</v>
      </c>
      <c r="E20" s="15" t="s">
        <v>159</v>
      </c>
      <c r="F20" s="15" t="s">
        <v>160</v>
      </c>
      <c r="G20" s="15" t="s">
        <v>21</v>
      </c>
      <c r="H20"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20"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20"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20"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20" s="6"/>
    </row>
    <row r="21" spans="1:12" x14ac:dyDescent="0.25">
      <c r="A21" s="13" t="s">
        <v>147</v>
      </c>
      <c r="B21" s="14" t="s">
        <v>51</v>
      </c>
      <c r="C21" s="15" t="s">
        <v>34</v>
      </c>
      <c r="D21" s="15" t="s">
        <v>68</v>
      </c>
      <c r="E21" s="15" t="s">
        <v>26</v>
      </c>
      <c r="F21" s="15" t="s">
        <v>52</v>
      </c>
      <c r="G21" s="15" t="s">
        <v>21</v>
      </c>
      <c r="H21"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21"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21"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21"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21" s="6"/>
    </row>
    <row r="22" spans="1:12" x14ac:dyDescent="0.25">
      <c r="A22" s="13" t="s">
        <v>83</v>
      </c>
      <c r="B22" s="14" t="s">
        <v>53</v>
      </c>
      <c r="C22" s="15" t="s">
        <v>49</v>
      </c>
      <c r="D22" s="15" t="s">
        <v>35</v>
      </c>
      <c r="E22" s="15" t="s">
        <v>159</v>
      </c>
      <c r="F22" s="15" t="s">
        <v>160</v>
      </c>
      <c r="G22" s="15" t="s">
        <v>21</v>
      </c>
      <c r="H22"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22"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22"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22"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22" s="6"/>
    </row>
    <row r="23" spans="1:12" x14ac:dyDescent="0.25">
      <c r="A23" s="13" t="s">
        <v>84</v>
      </c>
      <c r="B23" s="14" t="s">
        <v>89</v>
      </c>
      <c r="C23" s="15" t="s">
        <v>49</v>
      </c>
      <c r="D23" s="15" t="s">
        <v>70</v>
      </c>
      <c r="E23" s="15" t="s">
        <v>159</v>
      </c>
      <c r="F23" s="15" t="s">
        <v>160</v>
      </c>
      <c r="G23" s="15" t="s">
        <v>21</v>
      </c>
      <c r="H23"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23"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23"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23"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23" s="6"/>
    </row>
    <row r="24" spans="1:12" x14ac:dyDescent="0.25">
      <c r="A24" s="13" t="s">
        <v>85</v>
      </c>
      <c r="B24" s="14" t="s">
        <v>54</v>
      </c>
      <c r="C24" s="15" t="s">
        <v>49</v>
      </c>
      <c r="D24" s="15" t="s">
        <v>25</v>
      </c>
      <c r="E24" s="15" t="s">
        <v>57</v>
      </c>
      <c r="F24" s="15" t="s">
        <v>58</v>
      </c>
      <c r="G24" s="15" t="s">
        <v>21</v>
      </c>
      <c r="H24"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24"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24"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24"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24" s="6"/>
    </row>
    <row r="25" spans="1:12" x14ac:dyDescent="0.25">
      <c r="A25" s="13" t="s">
        <v>86</v>
      </c>
      <c r="B25" s="14" t="s">
        <v>91</v>
      </c>
      <c r="C25" s="15" t="s">
        <v>49</v>
      </c>
      <c r="D25" s="15" t="s">
        <v>25</v>
      </c>
      <c r="E25" s="15" t="s">
        <v>57</v>
      </c>
      <c r="F25" s="15" t="s">
        <v>58</v>
      </c>
      <c r="G25" s="15" t="s">
        <v>21</v>
      </c>
      <c r="H25"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25"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25"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25"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25" s="6"/>
    </row>
    <row r="26" spans="1:12" x14ac:dyDescent="0.25">
      <c r="A26" s="13" t="s">
        <v>87</v>
      </c>
      <c r="B26" s="14" t="s">
        <v>55</v>
      </c>
      <c r="C26" s="15" t="s">
        <v>49</v>
      </c>
      <c r="D26" s="15" t="s">
        <v>35</v>
      </c>
      <c r="E26" s="15" t="s">
        <v>159</v>
      </c>
      <c r="F26" s="15" t="s">
        <v>159</v>
      </c>
      <c r="G26" s="15" t="s">
        <v>21</v>
      </c>
      <c r="H26"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26" s="4"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26" s="4"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26" s="5"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L26" s="6"/>
    </row>
    <row r="27" spans="1:12" x14ac:dyDescent="0.25">
      <c r="A27" s="11" t="s">
        <v>88</v>
      </c>
      <c r="B27" s="11" t="s">
        <v>90</v>
      </c>
      <c r="C27" s="11" t="s">
        <v>49</v>
      </c>
      <c r="D27" s="11" t="s">
        <v>56</v>
      </c>
      <c r="E27" s="11" t="s">
        <v>165</v>
      </c>
      <c r="F27" s="11" t="s">
        <v>169</v>
      </c>
      <c r="G27" s="11" t="s">
        <v>21</v>
      </c>
      <c r="H27" s="4" t="str">
        <f>get_is_shrub(Таблица4[[#This Row],[Наименование]])</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I27" s="16" t="str">
        <f>check_ambiguity(Таблица4[[#This Row],[Номер точки]],Таблица4[[#This Row],[Количество]],Таблица4[[#This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J27" s="16" t="str">
        <f>identification_stump(Таблица4[[#This Row],[Высота]],Таблица4[[#This Row],[Толщина]],Таблица4[[#This Row],[Кустарник]])</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c r="K27" t="str">
        <f>insert_stump(Таблица4[[#This Row],[Наименование]],Таблица4[[#This Row],[Пень]])</f>
        <v>ModuleNotFoundError: No module named 'TaxationTool_Excel'
  File "&lt;frozen importlib._bootstrap&gt;", line 1142, in _find_and_load_unlocked
  File "&lt;frozen importlib._bootstrap&gt;", line 1178, in _find_and_load
  File "&lt;frozen importlib._bootstrap&gt;", line 1206, in _gcd_import
           ^^^^^^^^^^^^^^^^^^^^^^^^^^^^^^^^^^^^^^^^^^^^^^^^^^^^
    return _bootstrap._gcd_import(name[level:], package, level)
  File "C:\Users\admin\AppData\Local\Programs\Python\Python311\Lib\importlib\__init__.py", line 126, in import_module
             ^^^^^^^^^^^^^^^^^^^^^^^^^^
    module = import_module(module_name)
  File "C:\Projects\TaxationTool\venv\Lib\site-packages\xlwings\udfs.py", line 415, in get_udf_module
             ^^^^^^^^^^^^^^^^^^^^^^^^^^^^^^^^^^^^^^^^^^
    module = get_udf_module(module_name, this_workbook)
  File "C:\Projects\TaxationTool\venv\Lib\site-packages\xlwings\udfs.py", line 449, in call_udf
          ^^^^^^^^^^^^^^^^^^^^^^^^^^^^^^^^^^^^^^^^^^^^^^^^^^^^^^^^^^^^^^^^^
    res = call_udf(script, fname, args, this_workbook, FromVariant(caller))
  File "C:\Projects\TaxationTool\venv\Lib\site-packages\xlwings\com_server.py", line 235, in CallUDF
           ^^^^^^^^^^^
    return func(*args)
  File "C:\Projects\TaxationTool\venv\Lib\site-packages\win32com\server\policy.py", line 633, in _invokeex_
                     ^^^^^^^^^^^^^^^^^^^^^^^^^^^^^^^^^^^^^^^^^^^^^^^^^^^^^^^
    return S_OK, -1, self._invokeex_(dispid, lcid, wFlags, args, None, None)
  File "C:\Projects\TaxationTool\venv\Lib\site-packages\win32com\server\policy.py", line 303, in _invoke_
           ^^^^^^^^^^^^^^^^^^^^^^^^^^^^^^^^^^^^^^^^^
    return self._invoke_(dispid, lcid, wFlags, args)
  File "C:\Projects\TaxationTool\venv\Lib\site-packages\win32com\server\policy.py", line 298, in _Invoke_</v>
      </c>
    </row>
  </sheetData>
  <phoneticPr fontId="2" type="noConversion"/>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9CC7D-DF2C-4BC3-B7E3-2392A8147EEA}">
  <sheetPr codeName="Лист2">
    <tabColor rgb="FFFFC000"/>
  </sheetPr>
  <dimension ref="A1:G37"/>
  <sheetViews>
    <sheetView workbookViewId="0">
      <selection activeCell="G31" sqref="A18:G31"/>
    </sheetView>
  </sheetViews>
  <sheetFormatPr defaultRowHeight="15.75" x14ac:dyDescent="0.25"/>
  <cols>
    <col min="1" max="1" width="15.5" style="9" customWidth="1"/>
    <col min="2" max="2" width="17.5" style="9" customWidth="1"/>
    <col min="3" max="3" width="45.125" style="7" customWidth="1"/>
    <col min="4" max="4" width="14.375" style="9" customWidth="1"/>
    <col min="5" max="5" width="12.25" style="7" customWidth="1"/>
    <col min="6" max="6" width="46.625" style="7" customWidth="1"/>
    <col min="7" max="7" width="10.375" style="7" customWidth="1"/>
    <col min="8" max="16384" width="9" style="7"/>
  </cols>
  <sheetData>
    <row r="1" spans="1:7" ht="18" customHeight="1" x14ac:dyDescent="0.25">
      <c r="A1" s="9" t="s">
        <v>140</v>
      </c>
      <c r="B1" s="9" t="s">
        <v>178</v>
      </c>
      <c r="C1" s="7" t="s">
        <v>92</v>
      </c>
      <c r="D1" s="9" t="s">
        <v>93</v>
      </c>
      <c r="E1" s="7" t="s">
        <v>94</v>
      </c>
      <c r="F1" s="7" t="s">
        <v>95</v>
      </c>
      <c r="G1" s="7" t="s">
        <v>96</v>
      </c>
    </row>
    <row r="2" spans="1:7" x14ac:dyDescent="0.25">
      <c r="A2" s="10" t="s">
        <v>146</v>
      </c>
      <c r="B2" s="10" t="s">
        <v>70</v>
      </c>
      <c r="C2" s="8" t="s">
        <v>97</v>
      </c>
      <c r="D2" s="10" t="s">
        <v>70</v>
      </c>
      <c r="E2" s="7" t="s">
        <v>98</v>
      </c>
      <c r="F2" s="7" t="s">
        <v>97</v>
      </c>
    </row>
    <row r="3" spans="1:7" x14ac:dyDescent="0.25">
      <c r="A3" s="10" t="s">
        <v>67</v>
      </c>
      <c r="B3" s="10" t="s">
        <v>68</v>
      </c>
      <c r="C3" s="8" t="s">
        <v>99</v>
      </c>
      <c r="D3" s="10" t="s">
        <v>68</v>
      </c>
      <c r="E3" s="7" t="s">
        <v>98</v>
      </c>
      <c r="F3" s="7" t="s">
        <v>99</v>
      </c>
    </row>
    <row r="4" spans="1:7" x14ac:dyDescent="0.25">
      <c r="A4" s="10" t="s">
        <v>35</v>
      </c>
      <c r="B4" s="10" t="s">
        <v>69</v>
      </c>
      <c r="C4" s="8" t="s">
        <v>100</v>
      </c>
      <c r="D4" s="10" t="s">
        <v>69</v>
      </c>
      <c r="E4" s="8" t="s">
        <v>98</v>
      </c>
      <c r="F4" s="7" t="s">
        <v>100</v>
      </c>
    </row>
    <row r="5" spans="1:7" x14ac:dyDescent="0.25">
      <c r="A5" s="10" t="s">
        <v>70</v>
      </c>
      <c r="B5" s="10" t="s">
        <v>71</v>
      </c>
      <c r="C5" s="8" t="s">
        <v>101</v>
      </c>
      <c r="D5" s="10" t="s">
        <v>71</v>
      </c>
      <c r="E5" s="8" t="s">
        <v>98</v>
      </c>
      <c r="F5" s="7" t="s">
        <v>101</v>
      </c>
    </row>
    <row r="6" spans="1:7" x14ac:dyDescent="0.25">
      <c r="A6" s="10" t="s">
        <v>68</v>
      </c>
      <c r="B6" s="10" t="s">
        <v>72</v>
      </c>
      <c r="C6" s="8" t="s">
        <v>102</v>
      </c>
      <c r="D6" s="10" t="s">
        <v>72</v>
      </c>
      <c r="E6" s="8" t="s">
        <v>98</v>
      </c>
      <c r="F6" s="7" t="s">
        <v>102</v>
      </c>
    </row>
    <row r="7" spans="1:7" x14ac:dyDescent="0.25">
      <c r="A7" s="10" t="s">
        <v>69</v>
      </c>
      <c r="B7" s="10" t="s">
        <v>75</v>
      </c>
      <c r="C7" s="8" t="s">
        <v>103</v>
      </c>
      <c r="D7" s="10" t="s">
        <v>75</v>
      </c>
      <c r="E7" s="8" t="s">
        <v>98</v>
      </c>
      <c r="F7" s="7" t="s">
        <v>103</v>
      </c>
    </row>
    <row r="8" spans="1:7" x14ac:dyDescent="0.25">
      <c r="A8" s="10" t="s">
        <v>71</v>
      </c>
      <c r="B8" s="10" t="s">
        <v>76</v>
      </c>
      <c r="C8" s="8" t="s">
        <v>104</v>
      </c>
      <c r="D8" s="10" t="s">
        <v>76</v>
      </c>
      <c r="E8" s="8" t="s">
        <v>98</v>
      </c>
      <c r="F8" s="7" t="s">
        <v>104</v>
      </c>
    </row>
    <row r="9" spans="1:7" x14ac:dyDescent="0.25">
      <c r="A9" s="10" t="s">
        <v>72</v>
      </c>
      <c r="B9" s="10" t="s">
        <v>77</v>
      </c>
      <c r="C9" s="8" t="s">
        <v>105</v>
      </c>
      <c r="D9" s="10" t="s">
        <v>77</v>
      </c>
      <c r="E9" s="8" t="s">
        <v>98</v>
      </c>
      <c r="F9" s="7" t="s">
        <v>105</v>
      </c>
    </row>
    <row r="10" spans="1:7" x14ac:dyDescent="0.25">
      <c r="A10" s="10" t="s">
        <v>73</v>
      </c>
      <c r="B10" s="10" t="s">
        <v>79</v>
      </c>
      <c r="C10" s="8" t="s">
        <v>106</v>
      </c>
      <c r="D10" s="10" t="s">
        <v>79</v>
      </c>
      <c r="E10" s="8" t="s">
        <v>98</v>
      </c>
      <c r="F10" s="7" t="s">
        <v>106</v>
      </c>
    </row>
    <row r="11" spans="1:7" x14ac:dyDescent="0.25">
      <c r="A11" s="10" t="s">
        <v>74</v>
      </c>
      <c r="B11" s="10" t="s">
        <v>78</v>
      </c>
      <c r="C11" s="8" t="s">
        <v>107</v>
      </c>
      <c r="D11" s="10" t="s">
        <v>78</v>
      </c>
      <c r="E11" s="8" t="s">
        <v>98</v>
      </c>
      <c r="F11" s="7" t="s">
        <v>107</v>
      </c>
    </row>
    <row r="12" spans="1:7" x14ac:dyDescent="0.25">
      <c r="A12" s="10" t="s">
        <v>75</v>
      </c>
      <c r="B12" s="10" t="s">
        <v>82</v>
      </c>
      <c r="C12" s="8" t="s">
        <v>108</v>
      </c>
      <c r="D12" s="10" t="s">
        <v>82</v>
      </c>
      <c r="E12" s="8" t="s">
        <v>98</v>
      </c>
      <c r="F12" s="7" t="s">
        <v>108</v>
      </c>
    </row>
    <row r="13" spans="1:7" x14ac:dyDescent="0.25">
      <c r="A13" s="10" t="s">
        <v>76</v>
      </c>
      <c r="B13" s="10" t="s">
        <v>109</v>
      </c>
      <c r="C13" s="8" t="s">
        <v>110</v>
      </c>
      <c r="D13" s="10" t="s">
        <v>111</v>
      </c>
      <c r="E13" s="8" t="s">
        <v>98</v>
      </c>
      <c r="F13" s="7" t="s">
        <v>110</v>
      </c>
    </row>
    <row r="14" spans="1:7" x14ac:dyDescent="0.25">
      <c r="A14" s="10" t="s">
        <v>77</v>
      </c>
      <c r="B14" s="10" t="s">
        <v>109</v>
      </c>
      <c r="C14" s="8" t="s">
        <v>110</v>
      </c>
      <c r="D14" s="10" t="s">
        <v>112</v>
      </c>
      <c r="E14" s="8" t="s">
        <v>98</v>
      </c>
      <c r="F14" s="7" t="s">
        <v>110</v>
      </c>
    </row>
    <row r="15" spans="1:7" x14ac:dyDescent="0.25">
      <c r="A15" s="10" t="s">
        <v>78</v>
      </c>
      <c r="B15" s="10" t="s">
        <v>109</v>
      </c>
      <c r="C15" s="8" t="s">
        <v>110</v>
      </c>
      <c r="D15" s="10" t="s">
        <v>113</v>
      </c>
      <c r="E15" s="8" t="s">
        <v>98</v>
      </c>
      <c r="F15" s="7" t="s">
        <v>110</v>
      </c>
    </row>
    <row r="16" spans="1:7" x14ac:dyDescent="0.25">
      <c r="A16" s="10" t="s">
        <v>79</v>
      </c>
      <c r="B16" s="10" t="s">
        <v>109</v>
      </c>
      <c r="C16" s="8" t="s">
        <v>110</v>
      </c>
      <c r="D16" s="10" t="s">
        <v>114</v>
      </c>
      <c r="E16" s="8" t="s">
        <v>98</v>
      </c>
      <c r="F16" s="7" t="s">
        <v>110</v>
      </c>
    </row>
    <row r="17" spans="1:7" x14ac:dyDescent="0.25">
      <c r="A17" s="10" t="s">
        <v>80</v>
      </c>
      <c r="B17" s="10" t="s">
        <v>83</v>
      </c>
      <c r="C17" s="8" t="s">
        <v>115</v>
      </c>
      <c r="D17" s="10" t="s">
        <v>83</v>
      </c>
      <c r="E17" s="8" t="s">
        <v>98</v>
      </c>
      <c r="F17" s="7" t="s">
        <v>115</v>
      </c>
    </row>
    <row r="18" spans="1:7" x14ac:dyDescent="0.25">
      <c r="A18" s="10" t="s">
        <v>37</v>
      </c>
      <c r="B18" s="10" t="s">
        <v>84</v>
      </c>
      <c r="C18" s="8" t="s">
        <v>116</v>
      </c>
      <c r="D18" s="10" t="s">
        <v>84</v>
      </c>
      <c r="E18" s="8" t="s">
        <v>98</v>
      </c>
      <c r="F18" s="7" t="s">
        <v>116</v>
      </c>
    </row>
    <row r="19" spans="1:7" x14ac:dyDescent="0.25">
      <c r="A19" s="10" t="s">
        <v>81</v>
      </c>
      <c r="B19" s="10" t="s">
        <v>85</v>
      </c>
      <c r="C19" s="8" t="s">
        <v>117</v>
      </c>
      <c r="D19" s="10" t="s">
        <v>85</v>
      </c>
      <c r="E19" s="8" t="s">
        <v>98</v>
      </c>
      <c r="F19" s="7" t="s">
        <v>117</v>
      </c>
    </row>
    <row r="20" spans="1:7" x14ac:dyDescent="0.25">
      <c r="A20" s="10" t="s">
        <v>82</v>
      </c>
      <c r="B20" s="10" t="s">
        <v>86</v>
      </c>
      <c r="C20" s="8" t="s">
        <v>118</v>
      </c>
      <c r="D20" s="10" t="s">
        <v>86</v>
      </c>
      <c r="E20" s="8" t="s">
        <v>98</v>
      </c>
      <c r="F20" s="7" t="s">
        <v>118</v>
      </c>
    </row>
    <row r="21" spans="1:7" x14ac:dyDescent="0.25">
      <c r="A21" s="10" t="s">
        <v>147</v>
      </c>
      <c r="B21" s="10" t="s">
        <v>53</v>
      </c>
      <c r="C21" s="8" t="s">
        <v>119</v>
      </c>
      <c r="D21" s="10" t="s">
        <v>87</v>
      </c>
      <c r="E21" s="8" t="s">
        <v>98</v>
      </c>
      <c r="F21" s="7" t="s">
        <v>119</v>
      </c>
    </row>
    <row r="22" spans="1:7" x14ac:dyDescent="0.25">
      <c r="A22" s="10" t="s">
        <v>83</v>
      </c>
      <c r="B22" s="10" t="s">
        <v>53</v>
      </c>
      <c r="C22" s="8" t="s">
        <v>119</v>
      </c>
      <c r="D22" s="10" t="s">
        <v>88</v>
      </c>
      <c r="E22" s="8" t="s">
        <v>98</v>
      </c>
      <c r="F22" s="7" t="s">
        <v>119</v>
      </c>
    </row>
    <row r="23" spans="1:7" x14ac:dyDescent="0.25">
      <c r="A23" s="10" t="s">
        <v>84</v>
      </c>
      <c r="B23" s="10" t="s">
        <v>120</v>
      </c>
      <c r="C23" s="8" t="s">
        <v>121</v>
      </c>
      <c r="D23" s="10" t="s">
        <v>89</v>
      </c>
      <c r="E23" s="8" t="s">
        <v>98</v>
      </c>
      <c r="F23" s="7" t="s">
        <v>121</v>
      </c>
    </row>
    <row r="24" spans="1:7" x14ac:dyDescent="0.25">
      <c r="A24" s="10" t="s">
        <v>85</v>
      </c>
      <c r="B24" s="10" t="s">
        <v>120</v>
      </c>
      <c r="C24" s="8" t="s">
        <v>121</v>
      </c>
      <c r="D24" s="10" t="s">
        <v>54</v>
      </c>
      <c r="E24" s="8" t="s">
        <v>98</v>
      </c>
      <c r="F24" s="7" t="s">
        <v>121</v>
      </c>
    </row>
    <row r="25" spans="1:7" x14ac:dyDescent="0.25">
      <c r="A25" s="10" t="s">
        <v>86</v>
      </c>
      <c r="B25" s="10" t="s">
        <v>122</v>
      </c>
      <c r="C25" s="8" t="s">
        <v>123</v>
      </c>
      <c r="D25" s="10" t="s">
        <v>91</v>
      </c>
      <c r="E25" s="8" t="s">
        <v>98</v>
      </c>
      <c r="F25" s="7" t="s">
        <v>123</v>
      </c>
    </row>
    <row r="26" spans="1:7" x14ac:dyDescent="0.25">
      <c r="A26" s="10" t="s">
        <v>87</v>
      </c>
      <c r="B26" s="10" t="s">
        <v>122</v>
      </c>
      <c r="C26" s="8" t="s">
        <v>123</v>
      </c>
      <c r="D26" s="10" t="s">
        <v>141</v>
      </c>
      <c r="E26" s="8" t="s">
        <v>98</v>
      </c>
      <c r="F26" s="7" t="s">
        <v>123</v>
      </c>
    </row>
    <row r="27" spans="1:7" x14ac:dyDescent="0.25">
      <c r="A27" s="10" t="s">
        <v>88</v>
      </c>
      <c r="B27" s="10" t="s">
        <v>122</v>
      </c>
      <c r="C27" s="8" t="s">
        <v>123</v>
      </c>
      <c r="D27" s="10" t="s">
        <v>142</v>
      </c>
      <c r="E27" s="8" t="s">
        <v>98</v>
      </c>
      <c r="F27" s="7" t="s">
        <v>123</v>
      </c>
    </row>
    <row r="28" spans="1:7" x14ac:dyDescent="0.25">
      <c r="A28" s="10" t="s">
        <v>89</v>
      </c>
      <c r="B28" s="10" t="s">
        <v>73</v>
      </c>
      <c r="C28" s="8" t="s">
        <v>124</v>
      </c>
      <c r="D28" s="10" t="s">
        <v>73</v>
      </c>
      <c r="E28" s="8" t="s">
        <v>125</v>
      </c>
      <c r="F28" s="7" t="s">
        <v>126</v>
      </c>
      <c r="G28" s="7">
        <v>72.187968681300262</v>
      </c>
    </row>
    <row r="29" spans="1:7" x14ac:dyDescent="0.25">
      <c r="A29" s="10" t="s">
        <v>148</v>
      </c>
      <c r="B29" s="10" t="s">
        <v>74</v>
      </c>
      <c r="C29" s="8" t="s">
        <v>127</v>
      </c>
      <c r="D29" s="10" t="s">
        <v>74</v>
      </c>
      <c r="E29" s="8" t="s">
        <v>125</v>
      </c>
      <c r="F29" s="7" t="s">
        <v>126</v>
      </c>
      <c r="G29" s="7">
        <v>72.187968681300262</v>
      </c>
    </row>
    <row r="30" spans="1:7" x14ac:dyDescent="0.25">
      <c r="A30" s="10" t="s">
        <v>90</v>
      </c>
      <c r="B30" s="10" t="s">
        <v>67</v>
      </c>
      <c r="C30" s="8" t="s">
        <v>128</v>
      </c>
      <c r="D30" s="10" t="s">
        <v>67</v>
      </c>
      <c r="E30" s="8" t="s">
        <v>125</v>
      </c>
      <c r="F30" s="7" t="s">
        <v>129</v>
      </c>
      <c r="G30" s="7">
        <v>13.829652249662766</v>
      </c>
    </row>
    <row r="31" spans="1:7" x14ac:dyDescent="0.25">
      <c r="A31" s="10" t="s">
        <v>149</v>
      </c>
      <c r="B31" s="10" t="s">
        <v>35</v>
      </c>
      <c r="C31" s="8" t="s">
        <v>130</v>
      </c>
      <c r="D31" s="10" t="s">
        <v>35</v>
      </c>
      <c r="E31" s="8" t="s">
        <v>125</v>
      </c>
      <c r="F31" s="7" t="s">
        <v>129</v>
      </c>
      <c r="G31" s="7">
        <v>13.829652249662766</v>
      </c>
    </row>
    <row r="32" spans="1:7" x14ac:dyDescent="0.25">
      <c r="A32" s="10" t="s">
        <v>150</v>
      </c>
      <c r="B32" s="10" t="s">
        <v>80</v>
      </c>
      <c r="C32" s="8" t="s">
        <v>131</v>
      </c>
      <c r="D32" s="10" t="s">
        <v>80</v>
      </c>
      <c r="E32" s="8" t="s">
        <v>132</v>
      </c>
      <c r="F32" s="7" t="s">
        <v>133</v>
      </c>
      <c r="G32" s="7">
        <v>18.868199459209585</v>
      </c>
    </row>
    <row r="33" spans="1:7" x14ac:dyDescent="0.25">
      <c r="A33" s="10" t="s">
        <v>151</v>
      </c>
      <c r="B33" s="10" t="s">
        <v>37</v>
      </c>
      <c r="C33" s="8" t="s">
        <v>134</v>
      </c>
      <c r="D33" s="10" t="s">
        <v>37</v>
      </c>
      <c r="E33" s="8" t="s">
        <v>132</v>
      </c>
      <c r="F33" s="7" t="s">
        <v>135</v>
      </c>
      <c r="G33" s="7">
        <v>6.2361215361950615</v>
      </c>
    </row>
    <row r="34" spans="1:7" x14ac:dyDescent="0.25">
      <c r="A34" s="10" t="s">
        <v>152</v>
      </c>
      <c r="B34" s="10" t="s">
        <v>81</v>
      </c>
      <c r="C34" s="8" t="s">
        <v>136</v>
      </c>
      <c r="D34" s="10" t="s">
        <v>81</v>
      </c>
      <c r="E34" s="8" t="s">
        <v>125</v>
      </c>
      <c r="F34" s="7" t="s">
        <v>137</v>
      </c>
      <c r="G34" s="7">
        <v>13.404293070651994</v>
      </c>
    </row>
    <row r="35" spans="1:7" x14ac:dyDescent="0.25">
      <c r="A35" s="10" t="s">
        <v>153</v>
      </c>
      <c r="B35" s="10" t="s">
        <v>90</v>
      </c>
      <c r="C35" s="8" t="s">
        <v>138</v>
      </c>
      <c r="D35" s="10" t="s">
        <v>90</v>
      </c>
      <c r="E35" s="8" t="s">
        <v>125</v>
      </c>
      <c r="F35" s="7" t="s">
        <v>139</v>
      </c>
      <c r="G35" s="7">
        <v>13.404293070651494</v>
      </c>
    </row>
    <row r="36" spans="1:7" x14ac:dyDescent="0.25">
      <c r="A36" s="10" t="s">
        <v>154</v>
      </c>
      <c r="B36" s="10" t="s">
        <v>90</v>
      </c>
      <c r="C36" s="8" t="s">
        <v>143</v>
      </c>
      <c r="D36" s="10" t="s">
        <v>90</v>
      </c>
      <c r="E36" s="8" t="s">
        <v>125</v>
      </c>
      <c r="F36" s="7" t="s">
        <v>139</v>
      </c>
      <c r="G36" s="7">
        <v>13.404293070651494</v>
      </c>
    </row>
    <row r="37" spans="1:7" x14ac:dyDescent="0.25">
      <c r="A37" s="10" t="s">
        <v>155</v>
      </c>
      <c r="B37" s="10" t="s">
        <v>90</v>
      </c>
      <c r="C37" s="8" t="s">
        <v>144</v>
      </c>
      <c r="D37" s="10" t="s">
        <v>90</v>
      </c>
      <c r="E37" s="8" t="s">
        <v>125</v>
      </c>
      <c r="F37" s="7" t="s">
        <v>139</v>
      </c>
      <c r="G37" s="7">
        <v>13.404293070651494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4AD3E-F978-4118-9A37-E72BA356ACBE}">
  <sheetPr codeName="Лист3">
    <tabColor rgb="FFFFC000"/>
  </sheetPr>
  <dimension ref="A1:C4"/>
  <sheetViews>
    <sheetView workbookViewId="0">
      <selection activeCell="B2" sqref="B2"/>
    </sheetView>
  </sheetViews>
  <sheetFormatPr defaultRowHeight="15.75" x14ac:dyDescent="0.25"/>
  <sheetData>
    <row r="1" spans="1:3" x14ac:dyDescent="0.25">
      <c r="A1" t="s">
        <v>140</v>
      </c>
      <c r="B1" t="s">
        <v>171</v>
      </c>
      <c r="C1" t="s">
        <v>95</v>
      </c>
    </row>
    <row r="2" spans="1:3" x14ac:dyDescent="0.25">
      <c r="A2">
        <v>0</v>
      </c>
      <c r="B2" t="s">
        <v>172</v>
      </c>
      <c r="C2" t="s">
        <v>173</v>
      </c>
    </row>
    <row r="3" spans="1:3" x14ac:dyDescent="0.25">
      <c r="A3">
        <v>1</v>
      </c>
      <c r="B3" t="s">
        <v>174</v>
      </c>
      <c r="C3" t="s">
        <v>175</v>
      </c>
    </row>
    <row r="4" spans="1:3" x14ac:dyDescent="0.25">
      <c r="A4">
        <v>2</v>
      </c>
      <c r="B4" t="s">
        <v>176</v>
      </c>
      <c r="C4" t="s">
        <v>177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C2190-88BF-4C07-B83E-A91AD07990A9}">
  <sheetPr codeName="Лист4"/>
  <dimension ref="A1:G7"/>
  <sheetViews>
    <sheetView tabSelected="1" workbookViewId="0">
      <selection activeCell="F22" sqref="F22"/>
    </sheetView>
  </sheetViews>
  <sheetFormatPr defaultRowHeight="15.75" x14ac:dyDescent="0.25"/>
  <sheetData>
    <row r="1" spans="1:7" x14ac:dyDescent="0.25">
      <c r="A1" t="s">
        <v>140</v>
      </c>
      <c r="B1" t="s">
        <v>178</v>
      </c>
      <c r="C1" t="s">
        <v>92</v>
      </c>
      <c r="D1" t="s">
        <v>93</v>
      </c>
      <c r="E1" t="s">
        <v>94</v>
      </c>
      <c r="F1" t="s">
        <v>95</v>
      </c>
      <c r="G1" t="s">
        <v>96</v>
      </c>
    </row>
    <row r="2" spans="1:7" x14ac:dyDescent="0.25">
      <c r="A2" t="s">
        <v>146</v>
      </c>
      <c r="B2" t="s">
        <v>70</v>
      </c>
      <c r="C2" t="s">
        <v>97</v>
      </c>
      <c r="D2" t="s">
        <v>70</v>
      </c>
      <c r="E2" t="s">
        <v>98</v>
      </c>
      <c r="F2" t="s">
        <v>97</v>
      </c>
    </row>
    <row r="3" spans="1:7" x14ac:dyDescent="0.25">
      <c r="A3" t="s">
        <v>67</v>
      </c>
      <c r="B3" t="s">
        <v>68</v>
      </c>
      <c r="C3" t="s">
        <v>99</v>
      </c>
      <c r="D3" t="s">
        <v>68</v>
      </c>
      <c r="E3" t="s">
        <v>98</v>
      </c>
      <c r="F3" t="s">
        <v>99</v>
      </c>
    </row>
    <row r="4" spans="1:7" x14ac:dyDescent="0.25">
      <c r="A4" t="s">
        <v>35</v>
      </c>
      <c r="B4" t="s">
        <v>69</v>
      </c>
      <c r="C4" t="s">
        <v>100</v>
      </c>
      <c r="D4" t="s">
        <v>69</v>
      </c>
      <c r="E4" t="s">
        <v>98</v>
      </c>
      <c r="F4" t="s">
        <v>100</v>
      </c>
    </row>
    <row r="5" spans="1:7" x14ac:dyDescent="0.25">
      <c r="A5" t="s">
        <v>70</v>
      </c>
      <c r="B5" t="s">
        <v>71</v>
      </c>
      <c r="C5" t="s">
        <v>101</v>
      </c>
      <c r="D5" t="s">
        <v>71</v>
      </c>
      <c r="E5" t="s">
        <v>98</v>
      </c>
      <c r="F5" t="s">
        <v>101</v>
      </c>
    </row>
    <row r="6" spans="1:7" x14ac:dyDescent="0.25">
      <c r="A6" t="s">
        <v>68</v>
      </c>
      <c r="B6" t="s">
        <v>72</v>
      </c>
      <c r="C6" t="s">
        <v>102</v>
      </c>
      <c r="D6" t="s">
        <v>72</v>
      </c>
      <c r="E6" t="s">
        <v>98</v>
      </c>
      <c r="F6" t="s">
        <v>102</v>
      </c>
    </row>
    <row r="7" spans="1:7" x14ac:dyDescent="0.25">
      <c r="A7" t="s">
        <v>69</v>
      </c>
      <c r="B7" t="s">
        <v>75</v>
      </c>
      <c r="C7" t="s">
        <v>103</v>
      </c>
      <c r="D7" t="s">
        <v>75</v>
      </c>
      <c r="E7" t="s">
        <v>98</v>
      </c>
      <c r="F7" t="s">
        <v>103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FFA3-7F26-49C9-874E-41920D2A3D7C}">
  <dimension ref="A1:G15"/>
  <sheetViews>
    <sheetView workbookViewId="0">
      <selection activeCell="G19" sqref="G19"/>
    </sheetView>
  </sheetViews>
  <sheetFormatPr defaultRowHeight="15.75" x14ac:dyDescent="0.25"/>
  <sheetData>
    <row r="1" spans="1:7" x14ac:dyDescent="0.25">
      <c r="A1" t="s">
        <v>140</v>
      </c>
      <c r="B1" t="s">
        <v>178</v>
      </c>
      <c r="C1" t="s">
        <v>92</v>
      </c>
      <c r="D1" t="s">
        <v>93</v>
      </c>
      <c r="E1" t="s">
        <v>94</v>
      </c>
      <c r="F1" t="s">
        <v>95</v>
      </c>
      <c r="G1" t="s">
        <v>96</v>
      </c>
    </row>
    <row r="2" spans="1:7" x14ac:dyDescent="0.25">
      <c r="A2" t="s">
        <v>37</v>
      </c>
      <c r="B2" t="s">
        <v>84</v>
      </c>
      <c r="C2" t="s">
        <v>116</v>
      </c>
      <c r="D2" t="s">
        <v>84</v>
      </c>
      <c r="E2" t="s">
        <v>98</v>
      </c>
      <c r="F2" t="s">
        <v>116</v>
      </c>
    </row>
    <row r="3" spans="1:7" x14ac:dyDescent="0.25">
      <c r="A3" t="s">
        <v>81</v>
      </c>
      <c r="B3" t="s">
        <v>85</v>
      </c>
      <c r="C3" t="s">
        <v>117</v>
      </c>
      <c r="D3" t="s">
        <v>85</v>
      </c>
      <c r="E3" t="s">
        <v>98</v>
      </c>
      <c r="F3" t="s">
        <v>117</v>
      </c>
    </row>
    <row r="4" spans="1:7" x14ac:dyDescent="0.25">
      <c r="A4" t="s">
        <v>82</v>
      </c>
      <c r="B4" t="s">
        <v>86</v>
      </c>
      <c r="C4" t="s">
        <v>118</v>
      </c>
      <c r="D4" t="s">
        <v>86</v>
      </c>
      <c r="E4" t="s">
        <v>98</v>
      </c>
      <c r="F4" t="s">
        <v>118</v>
      </c>
    </row>
    <row r="5" spans="1:7" x14ac:dyDescent="0.25">
      <c r="A5" t="s">
        <v>147</v>
      </c>
      <c r="B5" t="s">
        <v>53</v>
      </c>
      <c r="C5" t="s">
        <v>119</v>
      </c>
      <c r="D5" t="s">
        <v>87</v>
      </c>
      <c r="E5" t="s">
        <v>98</v>
      </c>
      <c r="F5" t="s">
        <v>119</v>
      </c>
    </row>
    <row r="6" spans="1:7" x14ac:dyDescent="0.25">
      <c r="A6" t="s">
        <v>83</v>
      </c>
      <c r="B6" t="s">
        <v>53</v>
      </c>
      <c r="C6" t="s">
        <v>119</v>
      </c>
      <c r="D6" t="s">
        <v>88</v>
      </c>
      <c r="E6" t="s">
        <v>98</v>
      </c>
      <c r="F6" t="s">
        <v>119</v>
      </c>
    </row>
    <row r="7" spans="1:7" x14ac:dyDescent="0.25">
      <c r="A7" t="s">
        <v>84</v>
      </c>
      <c r="B7" t="s">
        <v>120</v>
      </c>
      <c r="C7" t="s">
        <v>121</v>
      </c>
      <c r="D7" t="s">
        <v>89</v>
      </c>
      <c r="E7" t="s">
        <v>98</v>
      </c>
      <c r="F7" t="s">
        <v>121</v>
      </c>
    </row>
    <row r="8" spans="1:7" x14ac:dyDescent="0.25">
      <c r="A8" t="s">
        <v>85</v>
      </c>
      <c r="B8" t="s">
        <v>120</v>
      </c>
      <c r="C8" t="s">
        <v>121</v>
      </c>
      <c r="D8" t="s">
        <v>54</v>
      </c>
      <c r="E8" t="s">
        <v>98</v>
      </c>
      <c r="F8" t="s">
        <v>121</v>
      </c>
    </row>
    <row r="9" spans="1:7" x14ac:dyDescent="0.25">
      <c r="A9" t="s">
        <v>86</v>
      </c>
      <c r="B9" t="s">
        <v>122</v>
      </c>
      <c r="C9" t="s">
        <v>123</v>
      </c>
      <c r="D9" t="s">
        <v>91</v>
      </c>
      <c r="E9" t="s">
        <v>98</v>
      </c>
      <c r="F9" t="s">
        <v>123</v>
      </c>
    </row>
    <row r="10" spans="1:7" x14ac:dyDescent="0.25">
      <c r="A10" t="s">
        <v>87</v>
      </c>
      <c r="B10" t="s">
        <v>122</v>
      </c>
      <c r="C10" t="s">
        <v>123</v>
      </c>
      <c r="D10" t="s">
        <v>141</v>
      </c>
      <c r="E10" t="s">
        <v>98</v>
      </c>
      <c r="F10" t="s">
        <v>123</v>
      </c>
    </row>
    <row r="11" spans="1:7" x14ac:dyDescent="0.25">
      <c r="A11" t="s">
        <v>88</v>
      </c>
      <c r="B11" t="s">
        <v>122</v>
      </c>
      <c r="C11" t="s">
        <v>123</v>
      </c>
      <c r="D11" t="s">
        <v>142</v>
      </c>
      <c r="E11" t="s">
        <v>98</v>
      </c>
      <c r="F11" t="s">
        <v>123</v>
      </c>
    </row>
    <row r="12" spans="1:7" x14ac:dyDescent="0.25">
      <c r="A12" t="s">
        <v>89</v>
      </c>
      <c r="B12" t="s">
        <v>73</v>
      </c>
      <c r="C12" t="s">
        <v>124</v>
      </c>
      <c r="D12" t="s">
        <v>73</v>
      </c>
      <c r="E12" t="s">
        <v>125</v>
      </c>
      <c r="F12" t="s">
        <v>126</v>
      </c>
      <c r="G12">
        <v>72.187968681300262</v>
      </c>
    </row>
    <row r="13" spans="1:7" x14ac:dyDescent="0.25">
      <c r="A13" t="s">
        <v>148</v>
      </c>
      <c r="B13" t="s">
        <v>74</v>
      </c>
      <c r="C13" t="s">
        <v>127</v>
      </c>
      <c r="D13" t="s">
        <v>74</v>
      </c>
      <c r="E13" t="s">
        <v>125</v>
      </c>
      <c r="F13" t="s">
        <v>126</v>
      </c>
      <c r="G13">
        <v>72.187968681300262</v>
      </c>
    </row>
    <row r="14" spans="1:7" x14ac:dyDescent="0.25">
      <c r="A14" t="s">
        <v>90</v>
      </c>
      <c r="B14" t="s">
        <v>67</v>
      </c>
      <c r="C14" t="s">
        <v>128</v>
      </c>
      <c r="D14" t="s">
        <v>67</v>
      </c>
      <c r="E14" t="s">
        <v>125</v>
      </c>
      <c r="F14" t="s">
        <v>129</v>
      </c>
      <c r="G14">
        <v>13.829652249662766</v>
      </c>
    </row>
    <row r="15" spans="1:7" x14ac:dyDescent="0.25">
      <c r="A15" t="s">
        <v>149</v>
      </c>
      <c r="B15" t="s">
        <v>35</v>
      </c>
      <c r="C15" t="s">
        <v>130</v>
      </c>
      <c r="D15" t="s">
        <v>35</v>
      </c>
      <c r="E15" t="s">
        <v>125</v>
      </c>
      <c r="F15" t="s">
        <v>129</v>
      </c>
      <c r="G15">
        <v>13.829652249662766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Листы</vt:lpstr>
      </vt:variant>
      <vt:variant>
        <vt:i4>6</vt:i4>
      </vt:variant>
    </vt:vector>
  </HeadingPairs>
  <TitlesOfParts>
    <vt:vector size="6" baseType="lpstr">
      <vt:lpstr>_xlwings.conf</vt:lpstr>
      <vt:lpstr>Ведомость</vt:lpstr>
      <vt:lpstr>Автокад</vt:lpstr>
      <vt:lpstr>Зоны</vt:lpstr>
      <vt:lpstr>Зона 1</vt:lpstr>
      <vt:lpstr>Зона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Мысливец</cp:lastModifiedBy>
  <dcterms:created xsi:type="dcterms:W3CDTF">2015-01-25T11:31:25Z</dcterms:created>
  <dcterms:modified xsi:type="dcterms:W3CDTF">2025-01-10T12:52:35Z</dcterms:modified>
</cp:coreProperties>
</file>