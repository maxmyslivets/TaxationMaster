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FE015BF8-7442-4075-9528-D170747B30C6}" xr6:coauthVersionLast="45" xr6:coauthVersionMax="47" xr10:uidLastSave="{00000000-0000-0000-0000-000000000000}"/>
  <bookViews>
    <workbookView xWindow="59115" yWindow="3135" windowWidth="21975" windowHeight="15915" tabRatio="748" firstSheet="1" activeTab="5" xr2:uid="{00000000-000D-0000-FFFF-FFFF00000000}"/>
  </bookViews>
  <sheets>
    <sheet name="_xlwings.conf" sheetId="2" state="hidden" r:id="rId1"/>
    <sheet name="Ведомость" sheetId="3" r:id="rId2"/>
    <sheet name="Автокад" sheetId="5" r:id="rId3"/>
    <sheet name="Ведомость ОРМ" sheetId="13" r:id="rId4"/>
    <sheet name="Зоны" sheetId="7" r:id="rId5"/>
    <sheet name="Охранные зоны" sheetId="14" r:id="rId6"/>
    <sheet name="Зона 1" sheetId="8" r:id="rId7"/>
    <sheet name="Зона 2" sheetId="12" r:id="rId8"/>
    <sheet name="Зона 3" sheetId="11" r:id="rId9"/>
  </sheets>
  <functionGroups builtInGroupCount="19">
    <functionGroup name="xlwings"/>
  </functionGroups>
  <calcPr calcId="18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2" i="3" l="1"/>
  <c r="H4" i="3"/>
  <c r="H6" i="3"/>
  <c r="I2" i="3"/>
  <c r="H19" i="3"/>
  <c r="H20" i="3"/>
  <c r="H3" i="3"/>
  <c r="H15" i="3"/>
  <c r="H21" i="3"/>
  <c r="H27" i="3"/>
  <c r="I19" i="3"/>
  <c r="I15" i="3"/>
  <c r="I3" i="3"/>
  <c r="H11" i="3"/>
  <c r="I11" i="3" s="1"/>
  <c r="H22" i="3"/>
  <c r="I22" i="3" s="1"/>
  <c r="H13" i="3"/>
  <c r="H12" i="3"/>
  <c r="H26" i="3"/>
  <c r="I26" i="3" s="1"/>
  <c r="H14" i="3"/>
  <c r="I14" i="3" s="1"/>
  <c r="H25" i="3"/>
  <c r="I12" i="3"/>
  <c r="I13" i="3"/>
  <c r="H8" i="3"/>
  <c r="I8" i="3" s="1"/>
  <c r="H7" i="3"/>
  <c r="I21" i="3"/>
  <c r="I27" i="3"/>
  <c r="H23" i="3"/>
  <c r="I23" i="3" s="1"/>
  <c r="H16" i="3"/>
  <c r="I20" i="3"/>
  <c r="I25" i="3"/>
  <c r="H18" i="3"/>
  <c r="I18" i="3" s="1"/>
  <c r="H9" i="3"/>
  <c r="I9" i="3" s="1"/>
  <c r="H5" i="3"/>
  <c r="I6" i="3"/>
  <c r="I16" i="3"/>
  <c r="I7" i="3"/>
  <c r="H24" i="3"/>
  <c r="I24" i="3" s="1"/>
  <c r="H10" i="3"/>
  <c r="I10" i="3" s="1"/>
  <c r="H17" i="3"/>
  <c r="I17" i="3" s="1"/>
  <c r="I4" i="3"/>
  <c r="I5" i="3"/>
</calcChain>
</file>

<file path=xl/sharedStrings.xml><?xml version="1.0" encoding="utf-8"?>
<sst xmlns="http://schemas.openxmlformats.org/spreadsheetml/2006/main" count="560" uniqueCount="195">
  <si>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</si>
  <si>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</si>
  <si>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</si>
  <si>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</si>
  <si>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</si>
  <si>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</si>
  <si>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</si>
  <si>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</si>
  <si>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</si>
  <si>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</si>
  <si>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</si>
  <si>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</si>
  <si>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</si>
  <si>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</si>
  <si>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</si>
  <si>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</si>
  <si>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</si>
  <si>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</si>
  <si>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</si>
  <si>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</si>
  <si>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</si>
  <si>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</si>
  <si>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</si>
  <si>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</si>
  <si>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</si>
  <si>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</si>
  <si>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</si>
  <si>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</si>
  <si>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</si>
  <si>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</si>
  <si>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</si>
  <si>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</si>
  <si>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</si>
  <si>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</si>
  <si>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</si>
  <si>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</si>
  <si>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</si>
  <si>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</si>
  <si>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</si>
  <si>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</si>
  <si>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</si>
  <si>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</si>
  <si>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</si>
  <si>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</si>
  <si>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</si>
  <si>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</si>
  <si>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</si>
  <si>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</si>
  <si>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</si>
  <si>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</si>
  <si>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</si>
  <si>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</si>
  <si>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</si>
  <si>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</si>
  <si>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</si>
  <si>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</si>
  <si>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</si>
  <si>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</si>
  <si>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</si>
  <si>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</si>
  <si>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</si>
  <si>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</si>
  <si>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</si>
  <si>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Индекс</t>
  </si>
  <si>
    <t>1</t>
  </si>
  <si>
    <t>4</t>
  </si>
  <si>
    <t>5</t>
  </si>
  <si>
    <t>3</t>
  </si>
  <si>
    <t>6</t>
  </si>
  <si>
    <t>7</t>
  </si>
  <si>
    <t>8</t>
  </si>
  <si>
    <t>9</t>
  </si>
  <si>
    <t>10</t>
  </si>
  <si>
    <t>11</t>
  </si>
  <si>
    <t>12</t>
  </si>
  <si>
    <t>13</t>
  </si>
  <si>
    <t>14</t>
  </si>
  <si>
    <t>15</t>
  </si>
  <si>
    <t>17</t>
  </si>
  <si>
    <t>18</t>
  </si>
  <si>
    <t>20</t>
  </si>
  <si>
    <t>21</t>
  </si>
  <si>
    <t>22</t>
  </si>
  <si>
    <t>23</t>
  </si>
  <si>
    <t>24</t>
  </si>
  <si>
    <t>25</t>
  </si>
  <si>
    <t>26</t>
  </si>
  <si>
    <t>28</t>
  </si>
  <si>
    <t>27.1</t>
  </si>
  <si>
    <t>0.03х2</t>
  </si>
  <si>
    <t>5,5,5,5,5,5</t>
  </si>
  <si>
    <t>0.4</t>
  </si>
  <si>
    <t>0.01</t>
  </si>
  <si>
    <t>0.1</t>
  </si>
  <si>
    <t>2.5</t>
  </si>
  <si>
    <t>0.08</t>
  </si>
  <si>
    <t>1.5</t>
  </si>
  <si>
    <t>0.06</t>
  </si>
  <si>
    <t>0.12</t>
  </si>
  <si>
    <t>0.5</t>
  </si>
  <si>
    <t>0.03</t>
  </si>
  <si>
    <t>0.07</t>
  </si>
  <si>
    <t>Валидация</t>
  </si>
  <si>
    <t>5,5</t>
  </si>
  <si>
    <t>4,5</t>
  </si>
  <si>
    <t>0.05</t>
  </si>
  <si>
    <t>Хорошее, плохое 2</t>
  </si>
  <si>
    <t>Разделенный номер</t>
  </si>
  <si>
    <t>Позиция номера</t>
  </si>
  <si>
    <t>Геометрия</t>
  </si>
  <si>
    <t>Размер</t>
  </si>
  <si>
    <t>POINT (3108.838205298518 1707.285109871409)</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</si>
  <si>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</si>
  <si>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</si>
  <si>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</si>
  <si>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</si>
  <si>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</si>
  <si>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</si>
  <si>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</si>
  <si>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</si>
  <si>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</si>
  <si>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</si>
  <si>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</si>
  <si>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19а</t>
  </si>
  <si>
    <t>POINT (3115.8767179014208 1710.2258575299381)</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</si>
  <si>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</si>
  <si>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</si>
  <si>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</si>
  <si>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</si>
  <si>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</si>
  <si>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</si>
  <si>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</si>
  <si>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</si>
  <si>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</si>
  <si>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</si>
  <si>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</si>
  <si>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</si>
  <si>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27.2</t>
  </si>
  <si>
    <t>27.3</t>
  </si>
  <si>
    <t>POINT (3106.665839634858 1703.063361392738)</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</si>
  <si>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</si>
  <si>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</si>
  <si>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</si>
  <si>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</si>
  <si>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</si>
  <si>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(3097.9560283575443 1701.4723291555626)</t>
  </si>
  <si>
    <t>LINESTRING (3097.9560283575443 1701.4723291555626, 3106.103459418755 1713.031078844034)</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</si>
  <si>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</si>
  <si>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</si>
  <si>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</si>
  <si>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</si>
  <si>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(3100.4190364519973 1697.392114117334)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</si>
  <si>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</si>
  <si>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Список позиций номеров</t>
  </si>
  <si>
    <t>Список геометрии</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</si>
  <si>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</si>
  <si>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</si>
  <si>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</si>
  <si>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(3108.838205298518 1707.285109871409)', 'POINT (3114.150988844972 1707.4695572873902)']</t>
  </si>
  <si>
    <t>['POINT (3115.690642463274 1707.5867820573599)']</t>
  </si>
  <si>
    <t>['POINT (3099.2754038714006 1706.814426161843)']</t>
  </si>
  <si>
    <t>['LINESTRING (3099.2754038714006 1706.814426161843, 3097.4187151780247 1709.300406547605, 3094.335886693676 1708.740184617282)']</t>
  </si>
  <si>
    <t>['POINT (3114.699609216242 1705.0905155704238)']</t>
  </si>
  <si>
    <t>['POINT (3106.665839634858 1703.063361392738)']</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</si>
  <si>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</si>
  <si>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</si>
  <si>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(3104.043722283615 1698.543651078497)']</t>
  </si>
  <si>
    <t>['POINT (3105.090899215862 1695.9481208535972)']</t>
  </si>
  <si>
    <t>['POINT (3106.332887793542 1693.7013226121771)']</t>
  </si>
  <si>
    <t>['POINT (3107.4888707400646 1689.420932022136)']</t>
  </si>
  <si>
    <t>['POINT (3104.361115387819 1692.888423763281)']</t>
  </si>
  <si>
    <t>['POINT (3097.9560283575443 1701.4723291555626)']</t>
  </si>
  <si>
    <t>['LINESTRING (3097.9560283575443 1701.4723291555626, 3106.103459418755 1713.031078844034)']</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</si>
  <si>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</si>
  <si>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</si>
  <si>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(3111.379753263188 1713.542099550268)']</t>
  </si>
  <si>
    <t>['POINT (3115.8767179014208 1710.2258575299381)']</t>
  </si>
  <si>
    <t>Плохое</t>
  </si>
  <si>
    <t>['POINT (3115.0061404912108 1715.72499227971)', 'POINT (3113.301828595038 1716.110113041026)', 'POINT (3112.086560913637 1715.354679146507)', 'POINT (3109.758842254726 1716.964399774057)']</t>
  </si>
  <si>
    <t>['POINT (3105.0233167174188 1709.065127000339)', 'POINT (3105.0233167174188 1709.065127000339)']</t>
  </si>
  <si>
    <t>['POINT (3102.168668723462 1708.5065675452358)']</t>
  </si>
  <si>
    <t>['POINT (3102.4476191511308 1705.577447903106)']</t>
  </si>
  <si>
    <t>['POINT (3102.4476191511308 1705.577447903106)', 'POINT (3102.4476191511308 1705.577447903106)']</t>
  </si>
  <si>
    <t>['POINT (3100.4190364519973 1697.392114117334)']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</si>
  <si>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</si>
  <si>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0.01, 0.2, 0.05</t>
  </si>
  <si>
    <t>Берёза пушистая (пень)</t>
  </si>
  <si>
    <t>Зона 1</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</si>
  <si>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</si>
  <si>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Зона 2</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</si>
  <si>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</si>
  <si>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Зона 3</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</si>
  <si>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</si>
  <si>
    <t>POLYGON ((3112.181656131297 1678.9352283050696, 3106.8217259717785 1671.8916859713563, 3062.8490400313585 1680.9122340073482, 3060.863952507645 1692.2781290067196, 3077.7925302024632 1705.9001192014703, 3078.42456970402 1705.9815483431837, 3079.0568817127823 1706.0595013835004, 3079.6897387359563 1706.1305022210242, 3080.3234132807474 1706.1910747543584, 3080.9581777519993 1706.2377434961356, 3081.5941492203588 1706.267964747002, 3082.230976699074 1706.2820024976058, 3082.868221395222 1706.2806474528652, 3083.5054445158794 1706.2646903176992, 3084.1422072681225 1706.2349217970261, 3084.778077163478 1706.1921053397948, 3085.4127393224207 1706.1364959371674, 3086.0459830107166 1706.0678983298526, 3086.6776010933645 1705.9861016980246, 3087.307386435363 1705.8908952218576, 3087.9351279003413 1705.7820796606134, 3088.5605548417147 1705.659627983117, 3089.183350986319 1705.5236451915478, 3089.803198897923 1705.3742396537443, 3090.4197811402955 1705.2115197375463, 3091.0327802772063 1705.035593810792, 3091.6418788724245 1704.8465702413214, 3092.246759489719 1704.6445573969727, 3092.847104817624 1704.4296636712984, 3093.4426154176513 1704.2020011413208, 3094.033028166928 1703.9616893684054, 3094.6180843478915 1703.7088488218149, 3095.1975252429793 1703.443599970812, 3095.7710921346284 1703.1660632846595, 3096.3385263052755 1702.87635923262, 3096.899569316132 1702.5746082686037, 3097.4539797670986 1702.2609299081887, 3098.0015428491774 1701.935442202561, 3098.5420460620794 1701.5982630757649, 3099.0752769055143 1701.2495104518443, 3099.601022879193 1700.8893022548439, 3100.119069488514 1700.517761311179, 3100.6291783661686 1700.135069130593, 3101.131095409584 1699.7414459028869, 3101.6245662385327 1699.3371125003853, 3102.109336472788 1698.922289795412, 3102.585151732122 1698.4971986602918, 3103.0517576363077 1698.0620599673482, 3103.5088998051183 1697.6170945889055, 3103.9563238583264 1697.1625233972882, 3104.3937754157046 1696.69856726482, 3104.821016318898 1696.225446196126, 3105.237884353095 1695.7433761336517, 3105.644239508716 1695.2525718320967, 3106.039941778917 1694.7532480460138, 3106.424851156855 1694.2456195299562, 3106.798827635685 1693.7299010384772, 3107.161727308138 1693.2063077878786, 3107.5133732388463 1692.6750589044648, 3107.853571868752 1692.1363754825222, 3108.1821295124214 1691.5904786312979, 3108.4988524844184 1691.037589460039, 3108.8035470993077 1690.4779290779932, 3109.09604127905 1689.9117291532987, 3109.37626998407 1689.339273660608, 3109.6442012590965 1688.7608627418888, 3109.8998031585397 1688.1767965438398, 3110.1430437368094 1687.5873752131592, 3110.373891048316 1686.9928988965457, 3110.592313147469 1686.3936677406975, 3110.7982780886787 1685.7899818923133, 3110.9917525495475 1685.182141359085, 3111.1725483378596 1684.5704305125864, 3111.3401825892806 1683.9551039734172, 3111.4941394207017 1683.3364130285026, 3111.6339029490123 1682.714608964769, 3111.7589572911033 1682.0899430691416, 3111.868786563865 1681.4626666285462, 3111.9629742817297 1680.8330384895341, 3112.0435137016393 1680.2015007703023, 3112.114878557484 1679.568684240363, 3112.181656131297 1678.9352283050696))</t>
  </si>
  <si>
    <t>POLYGON ((3114.5331473555148 1709.9069739694005, 3114.522000664284 1709.9683023796529, 3114.511228032583 1710.0296727826244, 3114.5012035199416 1710.0911271710343, 3114.4923011858887 1710.1527075376016, 3114.484895089955 1710.2144558750456, 3114.4793359238215 1710.2764089458758, 3114.475718716463 1710.3385462899803, 3114.4739808408276 1710.400812160556, 3114.4740573510985 1710.4631502918116, 3114.475883301458 1710.525504417956, 3114.4793937460886 1710.587818273198, 3114.4845237391733 1710.6500355917465, 3114.4912142833027 1710.712101539191, 3114.499449318143 1710.7739716131837, 3114.509231633848 1710.835605847418, 3114.520564101363 1710.8969642950296, 3114.5334495916354 1710.9580070091538, 3114.54789097561 1711.0186940429257, 3114.563891124233 1711.078985449481, 3114.581452908451 1711.1388412819545, 3114.6005791992093 1711.1982215934818, 3114.621272796877 1711.2570864396314, 3114.6435281470235 1711.3153961640166, 3114.667323567591 1711.3731116662761, 3114.6926355372516 1711.4301939094605, 3114.719440534676 1711.4866038566197, 3114.7477150385353 1711.5423024708045, 3114.7774355275014 1711.5972507150652, 3114.8085784802447 1711.651409552452, 3114.8411203754376 1711.7047399460155, 3114.8750376917505 1711.7572028588058, 3114.9103069078556 1711.8087592538734, 3114.946904495359 1711.8593701053298, 3114.984805607692 1711.9089984510356, 3115.023982540918 1711.9576118023826, 3115.06440721712 1712.00517825627, 3115.1060515583804 1712.0516659095974, 3115.1488874867828 1712.0970428592639, 3115.19288692441 1712.1412772021683, 3115.238021793344 1712.1843370352105, 3115.284264015669 1712.2261904552893, 3115.3315855134674 1712.2668055593042, 3115.3799577318046 1712.3061512474223, 3115.4293458009233 1712.3442070535818, 3115.479710379084 1712.3809600422624, 3115.531012029911 1712.4163974373055, 3115.5832113170286 1712.4505064625528, 3115.636268804061 1712.483274341846, 3115.6901450546316 1712.5146882990264, 3115.7448006323652 1712.544735557936, 3115.800196142094 1712.5734031547445, 3115.8562968878855 1712.6006567243915, 3115.9130771499945 1712.6264210225004, 3115.970512219293 1712.65061620214, 3116.0285773866563 1712.6731624163797, 3116.0872479429563 1712.6939798182875, 3116.1464984085565 1712.7129920197733, 3116.2062537560973 1712.730345053533, 3116.2663601886684 1712.746538550474, 3116.326656897818 1712.7621036164696, 3116.429875267716 1712.78569828886, 3116.542714017577 1712.8111266332041, 3116.6555527674377 1712.8365549775483, 3116.768391517299 1712.8619833218922, 3116.88123026716 1712.8874116662364, 3116.9940690170206 1712.9128400105806, 3117.1069077668817 1712.9382683549245, 3117.219746516743 1712.9636966992687, 3117.3325852666035 1712.9891250436128, 3117.4454240164646 1713.0145533879568, 3117.5582627663257 1713.039981732301, 3117.6711015161864 1713.0654100766449, 3117.7839402660475 1713.090838420989, 3117.896779015908 1713.1162667653332, 3118.0096177657692 1713.1416951096771, 3118.1224565156303 1713.1671234540213, 3118.196513534217 1713.1824065990036, 3118.2577034923283 1713.1939078847265, 3118.31903789032 1713.204448867715, 3118.3805989330504 1713.2134822610255, 3118.442425640734 1713.220650234302, 3118.504471506304 1713.2259701763912, 3118.5666799609817 1713.229503618154, 3118.6289944359905 1713.2313120904503, 3118.6913583625524 1713.231457124141, 3118.7537152491886 1713.2299999156633, 3118.816014098598 1713.2269778914304, 3118.8782129621313 1713.2223893297414, 3118.9402707352883 1713.216228856774, 3119.002146313568 1713.2084910987055, 3119.0637985924695 1713.1991706817134, 3119.1251864674914 1713.1882622319756, 3119.1862688341334 1713.1757603756694, 3119.2470045878945 1713.1616597389723, 3119.3073529045737 1713.145957966906, 3119.3672743226916 1713.1286673810087, 3119.4267297942934 1713.1098047565006, 3119.4856802715185 1713.0893868696098, 3119.544086706506 1713.0674304965648, 3119.6019100513945 1713.0439524135932, 3119.659111258324 1713.0189693969235, 3119.7156512794336 1712.9924982227838, 3119.771491066862 1712.964555667402, 3119.8265915807206 1712.935158570393, 3119.8809141886063 1712.9043270113018, 3119.9344208520374 1712.8720857919636, 3119.9870735794584 1712.8384600873278, 3120.0388343793143 1712.8034750723432, 3120.08966526005 1712.7671559219593, 3120.1395282301096 1712.7295278111255, 3120.1883852979386 1712.6906159147907, 3120.236198471981 1712.6504454079045, 3120.2829297606827 1712.6090414654157, 3120.3285411724873 1712.5664292622737, 3120.3729948374566 1712.5226340363972, 3120.4162612772943 1712.4776853706226, 3120.458324692565 1712.4316199302539, 3120.499170542689 1712.384475032391, 3120.538784287089 1712.3362879941328, 3120.577151385185 1712.2870961325787, 3120.614257296399 1712.236936764828, 3120.6500874801523 1712.1858472079803, 3120.684627395866 1712.1338647791342, 3120.717862502961 1712.0810267953898, 3120.7497732788574 1712.0273695267824, 3120.78029817011 1711.9729204097546, 3120.8093545333627 1711.9177024482979, 3120.8368595667653 1711.8617386130938, 3120.862730468469 1711.8050518748244, 3120.8868844366248 1711.7476652041707, 3120.9092386693833 1711.689601571815, 3120.9297607403614 1711.6308953777543, 3120.948705066274 1711.5716461016907, 3120.9664274459533 1711.5119762251622, 3120.983283794723 1711.4520082561378, 3120.9996300279076 1711.3918647025857, 3121.015375266069 1711.3270370258658, 3121.03078238475 1711.258670345305, 3121.0461895034314 1711.1903036647443, 3121.0615966221126 1711.1219369841835, 3121.0770037407938 1711.0535703036228, 3121.092410859475 1710.985203623062, 3121.107817978156 1710.9168369425013, 3121.1232250968374 1710.8484702619405, 3121.138632215519 1710.7801035813795, 3121.1540393342 1710.7117369008188, 3121.1694464528814 1710.643370220258, 3121.1848535715626 1710.5750035396973, 3121.200260690244 1710.5066368591365, 3121.215667808925 1710.4382701785757, 3121.231074927606 1710.3699034980148, 3121.246482046288 1710.301536817454, 3121.259782848285 1710.2366919912074, 3121.2707903041896 1710.1753480197533, 3121.281236671865 1710.1139410497353, 3121.290747892491 1710.0524290821113, 3121.2989499072473 1709.9907701178386, 3121.305469109733 1709.9289222591433, 3121.310051386599 1709.8668703553988, 3121.3127218614814 1709.8046617599693, 3121.313545479247 1709.7423527397439, 3121.312587184761 1709.6799995616113, 3121.30991192289 1709.6176584924613, 3121.3055846385005 1709.5553857991822, 3121.2996699482414 1709.493237669678, 3121.2922085248597 1709.4312645297393, 3121.2832012524373 1709.3695072299943, 3121.2726452593533 1709.3080057172594, 3121.260537673986 1709.2467999383507, 3121.2468756247144 1709.185929840084, 3121.2316562399174 1709.1254353692761, 3121.214876647973 1709.0653564727427, 3121.1965339772605 1709.0057330972998, 3121.1766253561586 1708.9466051897639, 3121.1551497852884 1708.8880126324343, 3121.1321224405315 1708.8299947502167, 3121.107566775643 1708.7725905827638, 3121.081506311292 1708.715839167423, 3121.053964568146 1708.6597795415416, 3121.024965066875 1708.6044507424672, 3120.994531328148 1708.5498918075464, 3120.9626868726327 1708.4961417741265, 3120.9294552209985 1708.4432396795553, 3120.8948598939137 1708.3912245611793, 3120.858924412048 1708.3401354563464, 3120.8216725682482 1708.290010976292, 3120.783130866171 1708.2408854883383, 3120.7433273647316 1708.192790924964, 3120.7022901413084 1708.1457591897438, 3120.6600472732785 1708.0998221862533, 3120.61662683802 1708.0550118180681, 3120.5720569129107 1708.0113599887636, 3120.5263655753283 1707.968898601915, 3120.4795809026505 1707.9276595610977, 3120.431730976571 1707.8876747626189, 3120.382846604871 1707.8489715124024, 3120.332965984025 1707.8115646747447, 3120.282128550194 1707.7754670264706, 3120.230373739537 1707.7406913444056, 3120.1777409882134 1707.7072504053745, 3120.124269732384 1707.6751569862024, 3120.0699994082083 1707.6444238637143, 3120.014969451847 1707.6150638147353, 3119.9592182385713 1707.5870944471908, 3119.9027750942805 1707.5605745782932, 3119.8456647623857 1707.5355838931207, 3119.787911950664 1707.5122022390221, 3119.729541366891 1707.4905094633468, 3119.670577718845 1707.4705854134434, 3119.6110583995437 1707.4524529968687, 3119.551107690863 1707.4357451063065, 3119.4908862862653 1707.4199311950504, 3119.4139234602508 1707.4013123918892, 3119.301078645673 1707.3758826808541, 3119.1882338310947 1707.350452969819, 3119.075389016517 1707.3250232587839, 3118.9625442019387 1707.2995935477486, 3118.849699387361 1707.2741638367136, 3118.736854572783 1707.2487341256783, 3118.624009758205 1707.2233044146433, 3118.511164943627 1707.197874703608, 3118.3983201290494 1707.172444992573, 3118.285475314471 1707.1470152815377, 3118.1726304998933 1707.1215855705027, 3118.059785685315 1707.0961558594674, 3117.9469408707373 1707.0707261484324, 3117.8340960561595 1707.0452964373972, 3117.7212512415813 1707.0198667263621, 3117.6213368559756 1706.99780791626, 3117.5601879673477 1706.9860332920236, 3117.4989359189717 1706.974944600056, 3117.4374981830497 1706.965090586172, 3117.3758017364044 1706.956978294938, 3117.3138582732677 1706.950743075742, 3117.251723967354 1706.9463251255293, 3117.1894553864013 1706.9436629124832, 3117.127109098146 1706.942694904787, 3117.064741670326 1706.943359570624, 3117.002408297539 1706.9456013193833, 3116.94015436733 1706.9494069929956, 3116.8780210017735 1706.9547818889373, 3116.8160493054625 1706.9617313803362, 3116.7542803829874 1706.9702608403197, 3116.6927553389414 1706.9803756420154, 3116.6315152779152 1706.992081158551, 3116.570601304501 1707.005382763054, 3116.5100544950446 1707.0202855245057, 3116.449915025522 1707.0367848166488, 3116.3902220053014 1707.0548645279703, 3116.33101448196 1707.0745078815812, 3116.2723315030753 1707.0956981005936, 3116.2142121162246 1707.1184184081196, 3116.1566953689844 1707.1426520272705, 3116.0998203089325 1707.1683821811582, 3116.043625983646 1707.1955920928947, 3115.988151440702 1707.2242649855918, 3115.9334356170725 1707.2543832030497, 3115.8795167656413 1707.285923650615, 3115.8264328780588 1707.318861156838, 3115.7742219454553 1707.3531705461273, 3115.7229219589603 1707.388826642892, 3115.6725709097036 1707.4258042715396, 3115.6232067888145 1707.4640782564795, 3115.574867587423 1707.50362342212, 3115.527591296659 1707.5444145928695, 3115.4814159076514 1707.5864265931366, 3115.4363794115307 1707.62963424733, 3115.3925176872335 1707.6740112862788, 3115.3498517114713 1707.719523725246, 3115.3083960491285 1707.7661342597978, 3115.2681652401534 1707.813805572589, 3115.229173824494 1707.8625003462741, 3115.191436342098 1707.9121812635085, 3115.154967332913 1707.9628110069468, 3115.1197813368876 1708.014352259244, 3115.085892893969 1708.0667677030553, 3115.053316742643 1708.1200200627584, 3115.022089551885 1708.1740766714577, 3114.9922895013938 1708.2289135858014, 3114.9639993926307 1708.2845078337084, 3114.937302027056 1708.340836443097, 3114.91228020613 1708.3978764418862, 3114.889016731315 1708.4556048579943, 3114.867590289438 1708.5139977858744, 3114.847902519419 1708.57299115404, 3114.829614661441 1708.6324663529897, 3114.812370798109 1708.6923008807714, 3114.7958150120285 1708.7523722354335, 3114.7796427629823 1708.8131029133613, 3114.7642368000156 1708.8814698543638, 3114.748830837049 1708.9498367953663, 3114.7334248740826 1709.0182037363686, 3114.718018911116 1709.0865706773711, 3114.702612948149 1709.1549376183737, 3114.6872069851825 1709.2233045593762, 3114.6718010222157 1709.2916715003787, 3114.656395059249 1709.360038441381, 3114.6409890962823 1709.4284053823835, 3114.6255831333156 1709.496772323386, 3114.610177170349 1709.5651392643883, 3114.594771207382 1709.6335062053909, 3114.5793652444154 1709.7018731463934, 3114.5639592814487 1709.7702400873957, 3114.5485533184824 1709.8386070283982, 3114.5331473555148 1709.9069739694005))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</si>
</sst>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xf numFmtId="0" fontId="0" fillId="0" borderId="0" xfId="0" applyNumberFormat="1" applyFill="1" applyBorder="1"/>
  </cellXfs>
  <cellStyles count="1">
    <cellStyle name="Обычный" xfId="0" builtinId="0"/>
  </cellStyles>
  <dxfs count="11">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
      <numFmt numFmtId="30" formatCode="@"/>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CD270-A62B-43B1-8938-CF3CC9C5A939}" name="Таблица1" displayName="Таблица1" ref="A1:I27" totalsRowShown="0" headerRowDxfId="10" dataDxfId="9">
  <autoFilter ref="A1:I27" xr:uid="{B9FCD270-A62B-43B1-8938-CF3CC9C5A939}"/>
  <tableColumns count="9">
    <tableColumn id="1" xr3:uid="{37BD1952-0F71-48F4-9E8E-43C0DBFD883B}" name="Индекс" dataDxfId="8"/>
    <tableColumn id="2" xr3:uid="{50FF0A5D-5C9E-4448-AA20-688B27C6405F}" name="Номер точки" dataDxfId="7"/>
    <tableColumn id="3" xr3:uid="{D66D671B-2B81-4B53-8940-39C32F7A5C06}" name="Наименование" dataDxfId="6"/>
    <tableColumn id="4" xr3:uid="{66785945-271E-4F01-8772-76DFE9CEF464}" name="Количество" dataDxfId="5"/>
    <tableColumn id="5" xr3:uid="{3D9E9085-6DF7-4F2B-820F-EC4F0C70985F}" name="Высота" dataDxfId="4"/>
    <tableColumn id="6" xr3:uid="{3BF1A40E-17B7-4C88-99AD-D2F3FC75CCF0}" name="Толщина" dataDxfId="3"/>
    <tableColumn id="7" xr3:uid="{34F28C75-E4C4-4126-A0E6-C5D0F36C3951}" name="Состояние" dataDxfId="2"/>
    <tableColumn id="8" xr3:uid="{49A18B83-153E-41DE-9901-31EAA511415F}" name="Кустарник" dataDxfId="1">
      <calculatedColumnFormula>get_is_shrub(Таблица1[[#This Row],[Наименование]])</calculatedColumnFormula>
    </tableColumn>
    <tableColumn id="9" xr3:uid="{56AD1B3A-37A5-46E3-944A-1C5604436A8E}" name="Валидация" dataDxfId="0">
      <calculatedColumnFormula>check_ambiguity(Таблица1[[#This Row],[Номер точки]],Таблица1[[#This Row],[Количество]],Таблица1[[#This Row],[Высота]],Таблица1[[#This Row],[Толщина]],Таблица1[[#This Row],[Кустарник]])</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workbookViewId="0">
      <selection activeCell="E18" sqref="E18"/>
    </sheetView>
  </sheetViews>
  <sheetFormatPr defaultRowHeight="15.75" x14ac:dyDescent="0.25"/>
  <cols>
    <col min="1" max="1" width="9.125" style="10" customWidth="1"/>
    <col min="2" max="2" width="14.125" style="10" customWidth="1"/>
    <col min="3" max="3" width="20.625" style="10" customWidth="1"/>
    <col min="4" max="4" width="12.875" style="10" customWidth="1"/>
    <col min="5" max="5" width="18.875" style="10" customWidth="1"/>
    <col min="6" max="6" width="14" style="10" customWidth="1"/>
    <col min="7" max="7" width="18.5" style="10" customWidth="1"/>
    <col min="8" max="8" width="12" customWidth="1"/>
    <col min="9" max="9" width="18.375" customWidth="1"/>
    <col min="11" max="11" width="22" customWidth="1"/>
  </cols>
  <sheetData>
    <row r="1" spans="1:12" x14ac:dyDescent="0.25">
      <c r="A1" s="11" t="s">
        <v>63</v>
      </c>
      <c r="B1" s="11" t="s">
        <v>15</v>
      </c>
      <c r="C1" s="11" t="s">
        <v>16</v>
      </c>
      <c r="D1" s="11" t="s">
        <v>17</v>
      </c>
      <c r="E1" s="11" t="s">
        <v>18</v>
      </c>
      <c r="F1" s="11" t="s">
        <v>19</v>
      </c>
      <c r="G1" s="11" t="s">
        <v>20</v>
      </c>
      <c r="H1" t="s">
        <v>62</v>
      </c>
      <c r="I1" t="s">
        <v>102</v>
      </c>
    </row>
    <row r="2" spans="1:12" s="3" customFormat="1" x14ac:dyDescent="0.25">
      <c r="A2" s="15">
        <v>1</v>
      </c>
      <c r="B2" s="12" t="s">
        <v>64</v>
      </c>
      <c r="C2" s="13" t="s">
        <v>30</v>
      </c>
      <c r="D2" s="13" t="s">
        <v>31</v>
      </c>
      <c r="E2" s="13" t="s">
        <v>64</v>
      </c>
      <c r="F2" s="13" t="s">
        <v>93</v>
      </c>
      <c r="G2" s="13" t="s">
        <v>21</v>
      </c>
      <c r="H2" s="4">
        <f>get_is_shrub(Таблица1[[#This Row],[Наименование]])</f>
        <v>0</v>
      </c>
      <c r="I2" s="4">
        <f>check_ambiguity(Таблица1[[#This Row],[Номер точки]],Таблица1[[#This Row],[Количество]],Таблица1[[#This Row],[Высота]],Таблица1[[#This Row],[Толщина]],Таблица1[[#This Row],[Кустарник]])</f>
        <v>0</v>
      </c>
      <c r="J2" s="4"/>
      <c r="K2" s="5"/>
      <c r="L2" s="5"/>
    </row>
    <row r="3" spans="1:12" s="3" customFormat="1" x14ac:dyDescent="0.25">
      <c r="A3" s="15">
        <v>2</v>
      </c>
      <c r="B3" s="12" t="s">
        <v>35</v>
      </c>
      <c r="C3" s="13" t="s">
        <v>32</v>
      </c>
      <c r="D3" s="13" t="s">
        <v>31</v>
      </c>
      <c r="E3" s="13" t="s">
        <v>94</v>
      </c>
      <c r="F3" s="13" t="s">
        <v>95</v>
      </c>
      <c r="G3" s="13" t="s">
        <v>21</v>
      </c>
      <c r="H3" s="4">
        <f>get_is_shrub(Таблица1[[#This Row],[Наименование]])</f>
        <v>0</v>
      </c>
      <c r="I3" s="4">
        <f>check_ambiguity(Таблица1[[#This Row],[Номер точки]],Таблица1[[#This Row],[Количество]],Таблица1[[#This Row],[Высота]],Таблица1[[#This Row],[Толщина]],Таблица1[[#This Row],[Кустарник]])</f>
        <v>0</v>
      </c>
      <c r="J3" s="4"/>
      <c r="K3" s="5"/>
      <c r="L3" s="5"/>
    </row>
    <row r="4" spans="1:12" s="3" customFormat="1" x14ac:dyDescent="0.25">
      <c r="A4" s="15">
        <v>3</v>
      </c>
      <c r="B4" s="12" t="s">
        <v>33</v>
      </c>
      <c r="C4" s="13" t="s">
        <v>34</v>
      </c>
      <c r="D4" s="13" t="s">
        <v>35</v>
      </c>
      <c r="E4" s="13" t="s">
        <v>103</v>
      </c>
      <c r="F4" s="13" t="s">
        <v>104</v>
      </c>
      <c r="G4" s="13" t="s">
        <v>21</v>
      </c>
      <c r="H4" s="4">
        <f>get_is_shrub(Таблица1[[#This Row],[Наименование]])</f>
        <v>0</v>
      </c>
      <c r="I4" s="4">
        <f>check_ambiguity(Таблица1[[#This Row],[Номер точки]],Таблица1[[#This Row],[Количество]],Таблица1[[#This Row],[Высота]],Таблица1[[#This Row],[Толщина]],Таблица1[[#This Row],[Кустарник]])</f>
        <v>0</v>
      </c>
      <c r="J4" s="4"/>
      <c r="K4" s="5"/>
      <c r="L4" s="5"/>
    </row>
    <row r="5" spans="1:12" s="3" customFormat="1" x14ac:dyDescent="0.25">
      <c r="A5" s="15">
        <v>4</v>
      </c>
      <c r="B5" s="12" t="s">
        <v>66</v>
      </c>
      <c r="C5" s="13" t="s">
        <v>30</v>
      </c>
      <c r="D5" s="13" t="s">
        <v>27</v>
      </c>
      <c r="E5" s="13" t="s">
        <v>36</v>
      </c>
      <c r="F5" s="13" t="s">
        <v>90</v>
      </c>
      <c r="G5" s="13" t="s">
        <v>21</v>
      </c>
      <c r="H5" s="4">
        <f>get_is_shrub(Таблица1[[#This Row],[Наименование]])</f>
        <v>0</v>
      </c>
      <c r="I5" s="4">
        <f>check_ambiguity(Таблица1[[#This Row],[Номер точки]],Таблица1[[#This Row],[Количество]],Таблица1[[#This Row],[Высота]],Таблица1[[#This Row],[Толщина]],Таблица1[[#This Row],[Кустарник]])</f>
        <v>0</v>
      </c>
      <c r="J5" s="4"/>
      <c r="K5" s="5"/>
      <c r="L5" s="5"/>
    </row>
    <row r="6" spans="1:12" x14ac:dyDescent="0.25">
      <c r="A6" s="15">
        <v>5</v>
      </c>
      <c r="B6" s="12" t="s">
        <v>68</v>
      </c>
      <c r="C6" s="13" t="s">
        <v>38</v>
      </c>
      <c r="D6" s="13" t="s">
        <v>39</v>
      </c>
      <c r="E6" s="13" t="s">
        <v>60</v>
      </c>
      <c r="F6" s="13" t="s">
        <v>61</v>
      </c>
      <c r="G6" s="13" t="s">
        <v>21</v>
      </c>
      <c r="H6" s="4">
        <f>get_is_shrub(Таблица1[[#This Row],[Наименование]])</f>
        <v>0</v>
      </c>
      <c r="I6" s="4">
        <f>check_ambiguity(Таблица1[[#This Row],[Номер точки]],Таблица1[[#This Row],[Количество]],Таблица1[[#This Row],[Высота]],Таблица1[[#This Row],[Толщина]],Таблица1[[#This Row],[Кустарник]])</f>
        <v>0</v>
      </c>
      <c r="J6" s="4"/>
      <c r="K6" s="5"/>
      <c r="L6" s="5"/>
    </row>
    <row r="7" spans="1:12" x14ac:dyDescent="0.25">
      <c r="A7" s="15">
        <v>6</v>
      </c>
      <c r="B7" s="12" t="s">
        <v>69</v>
      </c>
      <c r="C7" s="13" t="s">
        <v>30</v>
      </c>
      <c r="D7" s="13" t="s">
        <v>64</v>
      </c>
      <c r="E7" s="13" t="s">
        <v>94</v>
      </c>
      <c r="F7" s="13" t="s">
        <v>105</v>
      </c>
      <c r="G7" s="13" t="s">
        <v>21</v>
      </c>
      <c r="H7" s="4">
        <f>get_is_shrub(Таблица1[[#This Row],[Наименование]])</f>
        <v>0</v>
      </c>
      <c r="I7" s="4">
        <f>check_ambiguity(Таблица1[[#This Row],[Номер точки]],Таблица1[[#This Row],[Количество]],Таблица1[[#This Row],[Высота]],Таблица1[[#This Row],[Толщина]],Таблица1[[#This Row],[Кустарник]])</f>
        <v>0</v>
      </c>
      <c r="J7" s="4"/>
      <c r="K7" s="5"/>
      <c r="L7" s="5"/>
    </row>
    <row r="8" spans="1:12" x14ac:dyDescent="0.25">
      <c r="A8" s="15">
        <v>7</v>
      </c>
      <c r="B8" s="12" t="s">
        <v>70</v>
      </c>
      <c r="C8" s="13" t="s">
        <v>30</v>
      </c>
      <c r="D8" s="13" t="s">
        <v>40</v>
      </c>
      <c r="E8" s="13" t="s">
        <v>96</v>
      </c>
      <c r="F8" s="13" t="s">
        <v>105</v>
      </c>
      <c r="G8" s="13" t="s">
        <v>21</v>
      </c>
      <c r="H8" s="4">
        <f>get_is_shrub(Таблица1[[#This Row],[Наименование]])</f>
        <v>0</v>
      </c>
      <c r="I8" s="4">
        <f>check_ambiguity(Таблица1[[#This Row],[Номер точки]],Таблица1[[#This Row],[Количество]],Таблица1[[#This Row],[Высота]],Таблица1[[#This Row],[Толщина]],Таблица1[[#This Row],[Кустарник]])</f>
        <v>0</v>
      </c>
      <c r="J8" s="4"/>
      <c r="K8" s="5"/>
      <c r="L8" s="5"/>
    </row>
    <row r="9" spans="1:12" x14ac:dyDescent="0.25">
      <c r="A9" s="15">
        <v>8</v>
      </c>
      <c r="B9" s="12" t="s">
        <v>71</v>
      </c>
      <c r="C9" s="13" t="s">
        <v>32</v>
      </c>
      <c r="D9" s="13" t="s">
        <v>40</v>
      </c>
      <c r="E9" s="13" t="s">
        <v>35</v>
      </c>
      <c r="F9" s="13" t="s">
        <v>97</v>
      </c>
      <c r="G9" s="13" t="s">
        <v>21</v>
      </c>
      <c r="H9" s="4">
        <f>get_is_shrub(Таблица1[[#This Row],[Наименование]])</f>
        <v>0</v>
      </c>
      <c r="I9" s="4">
        <f>check_ambiguity(Таблица1[[#This Row],[Номер точки]],Таблица1[[#This Row],[Количество]],Таблица1[[#This Row],[Высота]],Таблица1[[#This Row],[Толщина]],Таблица1[[#This Row],[Кустарник]])</f>
        <v>0</v>
      </c>
      <c r="J9" s="4"/>
      <c r="K9" s="5"/>
      <c r="L9" s="5"/>
    </row>
    <row r="10" spans="1:12" x14ac:dyDescent="0.25">
      <c r="A10" s="15">
        <v>9</v>
      </c>
      <c r="B10" s="12" t="s">
        <v>72</v>
      </c>
      <c r="C10" s="13" t="s">
        <v>41</v>
      </c>
      <c r="D10" s="13" t="s">
        <v>23</v>
      </c>
      <c r="E10" s="13" t="s">
        <v>44</v>
      </c>
      <c r="F10" s="13" t="s">
        <v>59</v>
      </c>
      <c r="G10" s="13" t="s">
        <v>21</v>
      </c>
      <c r="H10" s="4">
        <f>get_is_shrub(Таблица1[[#This Row],[Наименование]])</f>
        <v>0</v>
      </c>
      <c r="I10" s="4">
        <f>check_ambiguity(Таблица1[[#This Row],[Номер точки]],Таблица1[[#This Row],[Количество]],Таблица1[[#This Row],[Высота]],Таблица1[[#This Row],[Толщина]],Таблица1[[#This Row],[Кустарник]])</f>
        <v>0</v>
      </c>
      <c r="J10" s="4"/>
      <c r="K10" s="5"/>
      <c r="L10" s="5"/>
    </row>
    <row r="11" spans="1:12" x14ac:dyDescent="0.25">
      <c r="A11" s="15">
        <v>10</v>
      </c>
      <c r="B11" s="12" t="s">
        <v>73</v>
      </c>
      <c r="C11" s="13" t="s">
        <v>41</v>
      </c>
      <c r="D11" s="13" t="s">
        <v>65</v>
      </c>
      <c r="E11" s="13" t="s">
        <v>42</v>
      </c>
      <c r="F11" s="13" t="s">
        <v>43</v>
      </c>
      <c r="G11" s="13" t="s">
        <v>21</v>
      </c>
      <c r="H11" s="4">
        <f>get_is_shrub(Таблица1[[#This Row],[Наименование]])</f>
        <v>0</v>
      </c>
      <c r="I11" s="4">
        <f>check_ambiguity(Таблица1[[#This Row],[Номер точки]],Таблица1[[#This Row],[Количество]],Таблица1[[#This Row],[Высота]],Таблица1[[#This Row],[Толщина]],Таблица1[[#This Row],[Кустарник]])</f>
        <v>0</v>
      </c>
      <c r="J11" s="4"/>
      <c r="K11" s="5"/>
      <c r="L11" s="5"/>
    </row>
    <row r="12" spans="1:12" x14ac:dyDescent="0.25">
      <c r="A12" s="15">
        <v>11</v>
      </c>
      <c r="B12" s="12" t="s">
        <v>74</v>
      </c>
      <c r="C12" s="13" t="s">
        <v>41</v>
      </c>
      <c r="D12" s="13" t="s">
        <v>67</v>
      </c>
      <c r="E12" s="13" t="s">
        <v>57</v>
      </c>
      <c r="F12" s="13" t="s">
        <v>58</v>
      </c>
      <c r="G12" s="13" t="s">
        <v>21</v>
      </c>
      <c r="H12" s="4">
        <f>get_is_shrub(Таблица1[[#This Row],[Наименование]])</f>
        <v>0</v>
      </c>
      <c r="I12" s="5">
        <f>check_ambiguity(Таблица1[[#This Row],[Номер точки]],Таблица1[[#This Row],[Количество]],Таблица1[[#This Row],[Высота]],Таблица1[[#This Row],[Толщина]],Таблица1[[#This Row],[Кустарник]])</f>
        <v>0</v>
      </c>
      <c r="J12" s="5"/>
      <c r="K12" s="5"/>
      <c r="L12" s="5"/>
    </row>
    <row r="13" spans="1:12" x14ac:dyDescent="0.25">
      <c r="A13" s="15">
        <v>12</v>
      </c>
      <c r="B13" s="12" t="s">
        <v>75</v>
      </c>
      <c r="C13" s="13" t="s">
        <v>41</v>
      </c>
      <c r="D13" s="13" t="s">
        <v>23</v>
      </c>
      <c r="E13" s="13" t="s">
        <v>44</v>
      </c>
      <c r="F13" s="13" t="s">
        <v>59</v>
      </c>
      <c r="G13" s="13" t="s">
        <v>28</v>
      </c>
      <c r="H13" s="4">
        <f>get_is_shrub(Таблица1[[#This Row],[Наименование]])</f>
        <v>0</v>
      </c>
      <c r="I13" s="4">
        <f>check_ambiguity(Таблица1[[#This Row],[Номер точки]],Таблица1[[#This Row],[Количество]],Таблица1[[#This Row],[Высота]],Таблица1[[#This Row],[Толщина]],Таблица1[[#This Row],[Кустарник]])</f>
        <v>0</v>
      </c>
      <c r="J13" s="4"/>
      <c r="K13" s="5"/>
      <c r="L13" s="5"/>
    </row>
    <row r="14" spans="1:12" x14ac:dyDescent="0.25">
      <c r="A14" s="15">
        <v>13</v>
      </c>
      <c r="B14" s="12" t="s">
        <v>76</v>
      </c>
      <c r="C14" s="13" t="s">
        <v>41</v>
      </c>
      <c r="D14" s="13" t="s">
        <v>35</v>
      </c>
      <c r="E14" s="13" t="s">
        <v>44</v>
      </c>
      <c r="F14" s="13" t="s">
        <v>89</v>
      </c>
      <c r="G14" s="13" t="s">
        <v>21</v>
      </c>
      <c r="H14" s="4">
        <f>get_is_shrub(Таблица1[[#This Row],[Наименование]])</f>
        <v>0</v>
      </c>
      <c r="I14" s="4">
        <f>check_ambiguity(Таблица1[[#This Row],[Номер точки]],Таблица1[[#This Row],[Количество]],Таблица1[[#This Row],[Высота]],Таблица1[[#This Row],[Толщина]],Таблица1[[#This Row],[Кустарник]])</f>
        <v>0</v>
      </c>
      <c r="J14" s="4"/>
      <c r="K14" s="5"/>
      <c r="L14" s="5"/>
    </row>
    <row r="15" spans="1:12" x14ac:dyDescent="0.25">
      <c r="A15" s="15">
        <v>14</v>
      </c>
      <c r="B15" s="12" t="s">
        <v>77</v>
      </c>
      <c r="C15" s="13" t="s">
        <v>29</v>
      </c>
      <c r="D15" s="13" t="s">
        <v>45</v>
      </c>
      <c r="E15" s="13" t="s">
        <v>35</v>
      </c>
      <c r="F15" s="13" t="s">
        <v>101</v>
      </c>
      <c r="G15" s="13" t="s">
        <v>21</v>
      </c>
      <c r="H15" s="4">
        <f>get_is_shrub(Таблица1[[#This Row],[Наименование]])</f>
        <v>0</v>
      </c>
      <c r="I15" s="4">
        <f>check_ambiguity(Таблица1[[#This Row],[Номер точки]],Таблица1[[#This Row],[Количество]],Таблица1[[#This Row],[Высота]],Таблица1[[#This Row],[Толщина]],Таблица1[[#This Row],[Кустарник]])</f>
        <v>0</v>
      </c>
      <c r="J15" s="4"/>
      <c r="K15" s="5"/>
      <c r="L15" s="5"/>
    </row>
    <row r="16" spans="1:12" x14ac:dyDescent="0.25">
      <c r="A16" s="15">
        <v>15</v>
      </c>
      <c r="B16" s="12" t="s">
        <v>37</v>
      </c>
      <c r="C16" s="13" t="s">
        <v>29</v>
      </c>
      <c r="D16" s="13" t="s">
        <v>46</v>
      </c>
      <c r="E16" s="13" t="s">
        <v>67</v>
      </c>
      <c r="F16" s="13" t="s">
        <v>98</v>
      </c>
      <c r="G16" s="13" t="s">
        <v>21</v>
      </c>
      <c r="H16" s="4">
        <f>get_is_shrub(Таблица1[[#This Row],[Наименование]])</f>
        <v>0</v>
      </c>
      <c r="I16" s="4">
        <f>check_ambiguity(Таблица1[[#This Row],[Номер точки]],Таблица1[[#This Row],[Количество]],Таблица1[[#This Row],[Высота]],Таблица1[[#This Row],[Толщина]],Таблица1[[#This Row],[Кустарник]])</f>
        <v>0</v>
      </c>
      <c r="J16" s="4"/>
      <c r="K16" s="5"/>
      <c r="L16" s="5"/>
    </row>
    <row r="17" spans="1:12" x14ac:dyDescent="0.25">
      <c r="A17" s="15">
        <v>16</v>
      </c>
      <c r="B17" s="12" t="s">
        <v>78</v>
      </c>
      <c r="C17" s="13" t="s">
        <v>24</v>
      </c>
      <c r="D17" s="13" t="s">
        <v>47</v>
      </c>
      <c r="E17" s="13" t="s">
        <v>99</v>
      </c>
      <c r="F17" s="13" t="s">
        <v>22</v>
      </c>
      <c r="G17" s="13" t="s">
        <v>21</v>
      </c>
      <c r="H17" s="4">
        <f>get_is_shrub(Таблица1[[#This Row],[Наименование]])</f>
        <v>1</v>
      </c>
      <c r="I17" s="4">
        <f>check_ambiguity(Таблица1[[#This Row],[Номер точки]],Таблица1[[#This Row],[Количество]],Таблица1[[#This Row],[Высота]],Таблица1[[#This Row],[Толщина]],Таблица1[[#This Row],[Кустарник]])</f>
        <v>0</v>
      </c>
      <c r="J17" s="4"/>
      <c r="K17" s="5"/>
      <c r="L17" s="5"/>
    </row>
    <row r="18" spans="1:12" x14ac:dyDescent="0.25">
      <c r="A18" s="15">
        <v>17</v>
      </c>
      <c r="B18" s="12" t="s">
        <v>79</v>
      </c>
      <c r="C18" s="13" t="s">
        <v>24</v>
      </c>
      <c r="D18" s="13" t="s">
        <v>64</v>
      </c>
      <c r="E18" s="13" t="s">
        <v>99</v>
      </c>
      <c r="F18" s="13" t="s">
        <v>22</v>
      </c>
      <c r="G18" s="13" t="s">
        <v>21</v>
      </c>
      <c r="H18" s="4">
        <f>get_is_shrub(Таблица1[[#This Row],[Наименование]])</f>
        <v>1</v>
      </c>
      <c r="I18" s="4">
        <f>check_ambiguity(Таблица1[[#This Row],[Номер точки]],Таблица1[[#This Row],[Количество]],Таблица1[[#This Row],[Высота]],Таблица1[[#This Row],[Толщина]],Таблица1[[#This Row],[Кустарник]])</f>
        <v>0</v>
      </c>
      <c r="J18" s="4"/>
      <c r="K18" s="5"/>
      <c r="L18" s="5"/>
    </row>
    <row r="19" spans="1:12" x14ac:dyDescent="0.25">
      <c r="A19" s="15">
        <v>18</v>
      </c>
      <c r="B19" s="12" t="s">
        <v>48</v>
      </c>
      <c r="C19" s="13" t="s">
        <v>49</v>
      </c>
      <c r="D19" s="13" t="s">
        <v>67</v>
      </c>
      <c r="E19" s="13" t="s">
        <v>91</v>
      </c>
      <c r="F19" s="13" t="s">
        <v>185</v>
      </c>
      <c r="G19" s="13" t="s">
        <v>106</v>
      </c>
      <c r="H19" s="4">
        <f>get_is_shrub(Таблица1[[#This Row],[Наименование]])</f>
        <v>0</v>
      </c>
      <c r="I19" s="4">
        <f>check_ambiguity(Таблица1[[#This Row],[Номер точки]],Таблица1[[#This Row],[Количество]],Таблица1[[#This Row],[Высота]],Таблица1[[#This Row],[Толщина]],Таблица1[[#This Row],[Кустарник]])</f>
        <v>0</v>
      </c>
      <c r="J19" s="4"/>
      <c r="K19" s="5"/>
      <c r="L19" s="5"/>
    </row>
    <row r="20" spans="1:12" x14ac:dyDescent="0.25">
      <c r="A20" s="15">
        <v>19</v>
      </c>
      <c r="B20" s="12" t="s">
        <v>50</v>
      </c>
      <c r="C20" s="13" t="s">
        <v>49</v>
      </c>
      <c r="D20" s="13" t="s">
        <v>64</v>
      </c>
      <c r="E20" s="13" t="s">
        <v>91</v>
      </c>
      <c r="F20" s="13" t="s">
        <v>92</v>
      </c>
      <c r="G20" s="13" t="s">
        <v>21</v>
      </c>
      <c r="H20" s="4">
        <f>get_is_shrub(Таблица1[[#This Row],[Наименование]])</f>
        <v>0</v>
      </c>
      <c r="I20" s="4">
        <f>check_ambiguity(Таблица1[[#This Row],[Номер точки]],Таблица1[[#This Row],[Количество]],Таблица1[[#This Row],[Высота]],Таблица1[[#This Row],[Толщина]],Таблица1[[#This Row],[Кустарник]])</f>
        <v>0</v>
      </c>
      <c r="J20" s="4"/>
      <c r="K20" s="5"/>
      <c r="L20" s="5"/>
    </row>
    <row r="21" spans="1:12" x14ac:dyDescent="0.25">
      <c r="A21" s="15">
        <v>20</v>
      </c>
      <c r="B21" s="12" t="s">
        <v>51</v>
      </c>
      <c r="C21" s="13" t="s">
        <v>34</v>
      </c>
      <c r="D21" s="13" t="s">
        <v>65</v>
      </c>
      <c r="E21" s="13" t="s">
        <v>26</v>
      </c>
      <c r="F21" s="13" t="s">
        <v>52</v>
      </c>
      <c r="G21" s="13" t="s">
        <v>21</v>
      </c>
      <c r="H21" s="4">
        <f>get_is_shrub(Таблица1[[#This Row],[Наименование]])</f>
        <v>0</v>
      </c>
      <c r="I21" s="4">
        <f>check_ambiguity(Таблица1[[#This Row],[Номер точки]],Таблица1[[#This Row],[Количество]],Таблица1[[#This Row],[Высота]],Таблица1[[#This Row],[Толщина]],Таблица1[[#This Row],[Кустарник]])</f>
        <v>0</v>
      </c>
      <c r="J21" s="4"/>
      <c r="K21" s="5"/>
      <c r="L21" s="5"/>
    </row>
    <row r="22" spans="1:12" x14ac:dyDescent="0.25">
      <c r="A22" s="15">
        <v>21</v>
      </c>
      <c r="B22" s="12" t="s">
        <v>53</v>
      </c>
      <c r="C22" s="13" t="s">
        <v>49</v>
      </c>
      <c r="D22" s="13" t="s">
        <v>35</v>
      </c>
      <c r="E22" s="13" t="s">
        <v>91</v>
      </c>
      <c r="F22" s="13" t="s">
        <v>92</v>
      </c>
      <c r="G22" s="13" t="s">
        <v>21</v>
      </c>
      <c r="H22" s="4">
        <f>get_is_shrub(Таблица1[[#This Row],[Наименование]])</f>
        <v>0</v>
      </c>
      <c r="I22" s="4">
        <f>check_ambiguity(Таблица1[[#This Row],[Номер точки]],Таблица1[[#This Row],[Количество]],Таблица1[[#This Row],[Высота]],Таблица1[[#This Row],[Толщина]],Таблица1[[#This Row],[Кустарник]])</f>
        <v>0</v>
      </c>
      <c r="J22" s="4"/>
      <c r="K22" s="5"/>
      <c r="L22" s="5"/>
    </row>
    <row r="23" spans="1:12" x14ac:dyDescent="0.25">
      <c r="A23" s="15">
        <v>22</v>
      </c>
      <c r="B23" s="12" t="s">
        <v>86</v>
      </c>
      <c r="C23" s="13" t="s">
        <v>49</v>
      </c>
      <c r="D23" s="13" t="s">
        <v>67</v>
      </c>
      <c r="E23" s="13" t="s">
        <v>91</v>
      </c>
      <c r="F23" s="13" t="s">
        <v>92</v>
      </c>
      <c r="G23" s="13" t="s">
        <v>21</v>
      </c>
      <c r="H23" s="4">
        <f>get_is_shrub(Таблица1[[#This Row],[Наименование]])</f>
        <v>0</v>
      </c>
      <c r="I23" s="4">
        <f>check_ambiguity(Таблица1[[#This Row],[Номер точки]],Таблица1[[#This Row],[Количество]],Таблица1[[#This Row],[Высота]],Таблица1[[#This Row],[Толщина]],Таблица1[[#This Row],[Кустарник]])</f>
        <v>0</v>
      </c>
      <c r="J23" s="4"/>
      <c r="K23" s="5"/>
      <c r="L23" s="5"/>
    </row>
    <row r="24" spans="1:12" x14ac:dyDescent="0.25">
      <c r="A24" s="15">
        <v>23</v>
      </c>
      <c r="B24" s="12" t="s">
        <v>54</v>
      </c>
      <c r="C24" s="13" t="s">
        <v>49</v>
      </c>
      <c r="D24" s="13" t="s">
        <v>25</v>
      </c>
      <c r="E24" s="13" t="s">
        <v>57</v>
      </c>
      <c r="F24" s="13" t="s">
        <v>58</v>
      </c>
      <c r="G24" s="13" t="s">
        <v>21</v>
      </c>
      <c r="H24" s="4">
        <f>get_is_shrub(Таблица1[[#This Row],[Наименование]])</f>
        <v>0</v>
      </c>
      <c r="I24" s="4">
        <f>check_ambiguity(Таблица1[[#This Row],[Номер точки]],Таблица1[[#This Row],[Количество]],Таблица1[[#This Row],[Высота]],Таблица1[[#This Row],[Толщина]],Таблица1[[#This Row],[Кустарник]])</f>
        <v>0</v>
      </c>
      <c r="J24" s="4"/>
      <c r="K24" s="5"/>
      <c r="L24" s="5"/>
    </row>
    <row r="25" spans="1:12" x14ac:dyDescent="0.25">
      <c r="A25" s="15">
        <v>24</v>
      </c>
      <c r="B25" s="12" t="s">
        <v>88</v>
      </c>
      <c r="C25" s="13" t="s">
        <v>49</v>
      </c>
      <c r="D25" s="13" t="s">
        <v>25</v>
      </c>
      <c r="E25" s="13" t="s">
        <v>57</v>
      </c>
      <c r="F25" s="13" t="s">
        <v>58</v>
      </c>
      <c r="G25" s="13" t="s">
        <v>21</v>
      </c>
      <c r="H25" s="4">
        <f>get_is_shrub(Таблица1[[#This Row],[Наименование]])</f>
        <v>0</v>
      </c>
      <c r="I25" s="4">
        <f>check_ambiguity(Таблица1[[#This Row],[Номер точки]],Таблица1[[#This Row],[Количество]],Таблица1[[#This Row],[Высота]],Таблица1[[#This Row],[Толщина]],Таблица1[[#This Row],[Кустарник]])</f>
        <v>0</v>
      </c>
      <c r="J25" s="4"/>
      <c r="K25" s="5"/>
      <c r="L25" s="5"/>
    </row>
    <row r="26" spans="1:12" x14ac:dyDescent="0.25">
      <c r="A26" s="15">
        <v>25</v>
      </c>
      <c r="B26" s="10" t="s">
        <v>55</v>
      </c>
      <c r="C26" s="10" t="s">
        <v>49</v>
      </c>
      <c r="D26" s="10" t="s">
        <v>35</v>
      </c>
      <c r="E26" s="10" t="s">
        <v>91</v>
      </c>
      <c r="F26" s="10" t="s">
        <v>92</v>
      </c>
      <c r="G26" s="10" t="s">
        <v>21</v>
      </c>
      <c r="H26" s="4">
        <f>get_is_shrub(Таблица1[[#This Row],[Наименование]])</f>
        <v>0</v>
      </c>
      <c r="I26" s="14">
        <f>check_ambiguity(Таблица1[[#This Row],[Номер точки]],Таблица1[[#This Row],[Количество]],Таблица1[[#This Row],[Высота]],Таблица1[[#This Row],[Толщина]],Таблица1[[#This Row],[Кустарник]])</f>
        <v>0</v>
      </c>
      <c r="J26" s="14"/>
      <c r="L26" s="5"/>
    </row>
    <row r="27" spans="1:12" x14ac:dyDescent="0.25">
      <c r="A27" s="15">
        <v>26</v>
      </c>
      <c r="B27" s="10" t="s">
        <v>87</v>
      </c>
      <c r="C27" s="10" t="s">
        <v>49</v>
      </c>
      <c r="D27" s="10" t="s">
        <v>56</v>
      </c>
      <c r="E27" s="10" t="s">
        <v>96</v>
      </c>
      <c r="F27" s="10" t="s">
        <v>100</v>
      </c>
      <c r="G27" s="10" t="s">
        <v>21</v>
      </c>
      <c r="H27">
        <f>get_is_shrub(Таблица1[[#This Row],[Наименование]])</f>
        <v>0</v>
      </c>
      <c r="I27">
        <f>check_ambiguity(Таблица1[[#This Row],[Номер точки]],Таблица1[[#This Row],[Количество]],Таблица1[[#This Row],[Высота]],Таблица1[[#This Row],[Толщина]],Таблица1[[#This Row],[Кустарник]])</f>
        <v>0</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F37"/>
  <sheetViews>
    <sheetView workbookViewId="0">
      <selection activeCell="E19" sqref="E19"/>
    </sheetView>
  </sheetViews>
  <sheetFormatPr defaultRowHeight="15.75" x14ac:dyDescent="0.25"/>
  <cols>
    <col min="1" max="1" width="7.25" style="8" customWidth="1"/>
    <col min="2" max="2" width="12.375" style="8" customWidth="1"/>
    <col min="3" max="3" width="7.625" style="8" customWidth="1"/>
    <col min="4" max="4" width="17.25" style="8" customWidth="1"/>
    <col min="5" max="5" width="12.25" style="6" customWidth="1"/>
    <col min="6" max="6" width="12.375" style="6" customWidth="1"/>
    <col min="7" max="7" width="10.375" style="6" customWidth="1"/>
    <col min="8" max="16384" width="9" style="6"/>
  </cols>
  <sheetData>
    <row r="1" spans="1:6" ht="18" customHeight="1" x14ac:dyDescent="0.25">
      <c r="A1" s="8" t="s">
        <v>63</v>
      </c>
      <c r="B1" s="8" t="s">
        <v>15</v>
      </c>
      <c r="C1" s="8" t="s">
        <v>107</v>
      </c>
      <c r="D1" s="8" t="s">
        <v>108</v>
      </c>
      <c r="E1" s="6" t="s">
        <v>109</v>
      </c>
      <c r="F1" s="6" t="s">
        <v>110</v>
      </c>
    </row>
    <row r="2" spans="1:6" x14ac:dyDescent="0.25">
      <c r="A2" s="9">
        <v>0</v>
      </c>
      <c r="B2" s="9" t="s">
        <v>67</v>
      </c>
      <c r="C2" s="9" t="s">
        <v>67</v>
      </c>
      <c r="D2" s="9" t="s">
        <v>111</v>
      </c>
      <c r="E2" s="6" t="s">
        <v>111</v>
      </c>
    </row>
    <row r="3" spans="1:6" x14ac:dyDescent="0.25">
      <c r="A3" s="9">
        <v>1</v>
      </c>
      <c r="B3" s="9" t="s">
        <v>65</v>
      </c>
      <c r="C3" s="9" t="s">
        <v>65</v>
      </c>
      <c r="D3" s="9" t="s">
        <v>112</v>
      </c>
      <c r="E3" s="6" t="s">
        <v>112</v>
      </c>
    </row>
    <row r="4" spans="1:6" x14ac:dyDescent="0.25">
      <c r="A4" s="9">
        <v>2</v>
      </c>
      <c r="B4" s="9" t="s">
        <v>66</v>
      </c>
      <c r="C4" s="9" t="s">
        <v>66</v>
      </c>
      <c r="D4" s="9" t="s">
        <v>113</v>
      </c>
      <c r="E4" s="7" t="s">
        <v>113</v>
      </c>
    </row>
    <row r="5" spans="1:6" x14ac:dyDescent="0.25">
      <c r="A5" s="9">
        <v>3</v>
      </c>
      <c r="B5" s="9" t="s">
        <v>68</v>
      </c>
      <c r="C5" s="9" t="s">
        <v>68</v>
      </c>
      <c r="D5" s="9" t="s">
        <v>114</v>
      </c>
      <c r="E5" s="7" t="s">
        <v>114</v>
      </c>
    </row>
    <row r="6" spans="1:6" x14ac:dyDescent="0.25">
      <c r="A6" s="9">
        <v>4</v>
      </c>
      <c r="B6" s="9" t="s">
        <v>69</v>
      </c>
      <c r="C6" s="9" t="s">
        <v>69</v>
      </c>
      <c r="D6" s="9" t="s">
        <v>115</v>
      </c>
      <c r="E6" s="7" t="s">
        <v>115</v>
      </c>
    </row>
    <row r="7" spans="1:6" x14ac:dyDescent="0.25">
      <c r="A7" s="9">
        <v>5</v>
      </c>
      <c r="B7" s="9" t="s">
        <v>72</v>
      </c>
      <c r="C7" s="9" t="s">
        <v>72</v>
      </c>
      <c r="D7" s="9" t="s">
        <v>116</v>
      </c>
      <c r="E7" s="7" t="s">
        <v>116</v>
      </c>
    </row>
    <row r="8" spans="1:6" x14ac:dyDescent="0.25">
      <c r="A8" s="9">
        <v>6</v>
      </c>
      <c r="B8" s="9" t="s">
        <v>73</v>
      </c>
      <c r="C8" s="9" t="s">
        <v>73</v>
      </c>
      <c r="D8" s="9" t="s">
        <v>117</v>
      </c>
      <c r="E8" s="7" t="s">
        <v>117</v>
      </c>
    </row>
    <row r="9" spans="1:6" x14ac:dyDescent="0.25">
      <c r="A9" s="9">
        <v>7</v>
      </c>
      <c r="B9" s="9" t="s">
        <v>74</v>
      </c>
      <c r="C9" s="9" t="s">
        <v>74</v>
      </c>
      <c r="D9" s="9" t="s">
        <v>118</v>
      </c>
      <c r="E9" s="7" t="s">
        <v>118</v>
      </c>
    </row>
    <row r="10" spans="1:6" x14ac:dyDescent="0.25">
      <c r="A10" s="9">
        <v>8</v>
      </c>
      <c r="B10" s="9" t="s">
        <v>76</v>
      </c>
      <c r="C10" s="9" t="s">
        <v>76</v>
      </c>
      <c r="D10" s="9" t="s">
        <v>119</v>
      </c>
      <c r="E10" s="7" t="s">
        <v>119</v>
      </c>
    </row>
    <row r="11" spans="1:6" x14ac:dyDescent="0.25">
      <c r="A11" s="9">
        <v>9</v>
      </c>
      <c r="B11" s="9" t="s">
        <v>75</v>
      </c>
      <c r="C11" s="9" t="s">
        <v>75</v>
      </c>
      <c r="D11" s="9" t="s">
        <v>120</v>
      </c>
      <c r="E11" s="7" t="s">
        <v>120</v>
      </c>
    </row>
    <row r="12" spans="1:6" x14ac:dyDescent="0.25">
      <c r="A12" s="9">
        <v>10</v>
      </c>
      <c r="B12" s="9" t="s">
        <v>79</v>
      </c>
      <c r="C12" s="9" t="s">
        <v>79</v>
      </c>
      <c r="D12" s="9" t="s">
        <v>121</v>
      </c>
      <c r="E12" s="7" t="s">
        <v>121</v>
      </c>
    </row>
    <row r="13" spans="1:6" x14ac:dyDescent="0.25">
      <c r="A13" s="9">
        <v>11</v>
      </c>
      <c r="B13" s="9" t="s">
        <v>122</v>
      </c>
      <c r="C13" s="9" t="s">
        <v>123</v>
      </c>
      <c r="D13" s="9" t="s">
        <v>124</v>
      </c>
      <c r="E13" s="7" t="s">
        <v>124</v>
      </c>
    </row>
    <row r="14" spans="1:6" x14ac:dyDescent="0.25">
      <c r="A14" s="9">
        <v>12</v>
      </c>
      <c r="B14" s="9" t="s">
        <v>122</v>
      </c>
      <c r="C14" s="9" t="s">
        <v>125</v>
      </c>
      <c r="D14" s="9" t="s">
        <v>124</v>
      </c>
      <c r="E14" s="7" t="s">
        <v>124</v>
      </c>
    </row>
    <row r="15" spans="1:6" x14ac:dyDescent="0.25">
      <c r="A15" s="9">
        <v>13</v>
      </c>
      <c r="B15" s="9" t="s">
        <v>122</v>
      </c>
      <c r="C15" s="9" t="s">
        <v>126</v>
      </c>
      <c r="D15" s="9" t="s">
        <v>124</v>
      </c>
      <c r="E15" s="7" t="s">
        <v>124</v>
      </c>
    </row>
    <row r="16" spans="1:6" x14ac:dyDescent="0.25">
      <c r="A16" s="9">
        <v>14</v>
      </c>
      <c r="B16" s="9" t="s">
        <v>122</v>
      </c>
      <c r="C16" s="9" t="s">
        <v>127</v>
      </c>
      <c r="D16" s="9" t="s">
        <v>124</v>
      </c>
      <c r="E16" s="7" t="s">
        <v>124</v>
      </c>
    </row>
    <row r="17" spans="1:6" x14ac:dyDescent="0.25">
      <c r="A17" s="9">
        <v>15</v>
      </c>
      <c r="B17" s="9" t="s">
        <v>80</v>
      </c>
      <c r="C17" s="9" t="s">
        <v>80</v>
      </c>
      <c r="D17" s="9" t="s">
        <v>128</v>
      </c>
      <c r="E17" s="7" t="s">
        <v>128</v>
      </c>
    </row>
    <row r="18" spans="1:6" x14ac:dyDescent="0.25">
      <c r="A18" s="9">
        <v>16</v>
      </c>
      <c r="B18" s="9" t="s">
        <v>81</v>
      </c>
      <c r="C18" s="9" t="s">
        <v>81</v>
      </c>
      <c r="D18" s="9" t="s">
        <v>129</v>
      </c>
      <c r="E18" s="7" t="s">
        <v>129</v>
      </c>
    </row>
    <row r="19" spans="1:6" x14ac:dyDescent="0.25">
      <c r="A19" s="9">
        <v>17</v>
      </c>
      <c r="B19" s="9" t="s">
        <v>82</v>
      </c>
      <c r="C19" s="9" t="s">
        <v>82</v>
      </c>
      <c r="D19" s="9" t="s">
        <v>130</v>
      </c>
      <c r="E19" s="7" t="s">
        <v>130</v>
      </c>
    </row>
    <row r="20" spans="1:6" x14ac:dyDescent="0.25">
      <c r="A20" s="9">
        <v>18</v>
      </c>
      <c r="B20" s="9" t="s">
        <v>83</v>
      </c>
      <c r="C20" s="9" t="s">
        <v>83</v>
      </c>
      <c r="D20" s="9" t="s">
        <v>131</v>
      </c>
      <c r="E20" s="7" t="s">
        <v>131</v>
      </c>
    </row>
    <row r="21" spans="1:6" x14ac:dyDescent="0.25">
      <c r="A21" s="9">
        <v>19</v>
      </c>
      <c r="B21" s="9" t="s">
        <v>53</v>
      </c>
      <c r="C21" s="9" t="s">
        <v>84</v>
      </c>
      <c r="D21" s="9" t="s">
        <v>132</v>
      </c>
      <c r="E21" s="7" t="s">
        <v>132</v>
      </c>
    </row>
    <row r="22" spans="1:6" x14ac:dyDescent="0.25">
      <c r="A22" s="9">
        <v>20</v>
      </c>
      <c r="B22" s="9" t="s">
        <v>53</v>
      </c>
      <c r="C22" s="9" t="s">
        <v>85</v>
      </c>
      <c r="D22" s="9" t="s">
        <v>132</v>
      </c>
      <c r="E22" s="7" t="s">
        <v>132</v>
      </c>
    </row>
    <row r="23" spans="1:6" x14ac:dyDescent="0.25">
      <c r="A23" s="9">
        <v>21</v>
      </c>
      <c r="B23" s="9" t="s">
        <v>133</v>
      </c>
      <c r="C23" s="9" t="s">
        <v>86</v>
      </c>
      <c r="D23" s="9" t="s">
        <v>134</v>
      </c>
      <c r="E23" s="7" t="s">
        <v>134</v>
      </c>
    </row>
    <row r="24" spans="1:6" x14ac:dyDescent="0.25">
      <c r="A24" s="9">
        <v>22</v>
      </c>
      <c r="B24" s="9" t="s">
        <v>133</v>
      </c>
      <c r="C24" s="9" t="s">
        <v>54</v>
      </c>
      <c r="D24" s="9" t="s">
        <v>134</v>
      </c>
      <c r="E24" s="7" t="s">
        <v>134</v>
      </c>
    </row>
    <row r="25" spans="1:6" x14ac:dyDescent="0.25">
      <c r="A25" s="9">
        <v>23</v>
      </c>
      <c r="B25" s="9" t="s">
        <v>135</v>
      </c>
      <c r="C25" s="9" t="s">
        <v>88</v>
      </c>
      <c r="D25" s="9" t="s">
        <v>136</v>
      </c>
      <c r="E25" s="7" t="s">
        <v>136</v>
      </c>
    </row>
    <row r="26" spans="1:6" x14ac:dyDescent="0.25">
      <c r="A26" s="9">
        <v>24</v>
      </c>
      <c r="B26" s="9" t="s">
        <v>135</v>
      </c>
      <c r="C26" s="9" t="s">
        <v>137</v>
      </c>
      <c r="D26" s="9" t="s">
        <v>136</v>
      </c>
      <c r="E26" s="7" t="s">
        <v>136</v>
      </c>
    </row>
    <row r="27" spans="1:6" x14ac:dyDescent="0.25">
      <c r="A27" s="9">
        <v>25</v>
      </c>
      <c r="B27" s="9" t="s">
        <v>135</v>
      </c>
      <c r="C27" s="9" t="s">
        <v>138</v>
      </c>
      <c r="D27" s="9" t="s">
        <v>136</v>
      </c>
      <c r="E27" s="7" t="s">
        <v>136</v>
      </c>
    </row>
    <row r="28" spans="1:6" x14ac:dyDescent="0.25">
      <c r="A28" s="9">
        <v>26</v>
      </c>
      <c r="B28" s="9" t="s">
        <v>70</v>
      </c>
      <c r="C28" s="9" t="s">
        <v>70</v>
      </c>
      <c r="D28" s="9" t="s">
        <v>139</v>
      </c>
      <c r="E28" s="7" t="s">
        <v>140</v>
      </c>
      <c r="F28" s="6">
        <v>72.187968681300262</v>
      </c>
    </row>
    <row r="29" spans="1:6" x14ac:dyDescent="0.25">
      <c r="A29" s="9">
        <v>27</v>
      </c>
      <c r="B29" s="9" t="s">
        <v>71</v>
      </c>
      <c r="C29" s="9" t="s">
        <v>71</v>
      </c>
      <c r="D29" s="9" t="s">
        <v>141</v>
      </c>
      <c r="E29" s="7" t="s">
        <v>140</v>
      </c>
      <c r="F29" s="6">
        <v>72.187968681300262</v>
      </c>
    </row>
    <row r="30" spans="1:6" x14ac:dyDescent="0.25">
      <c r="A30" s="9">
        <v>28</v>
      </c>
      <c r="B30" s="9" t="s">
        <v>64</v>
      </c>
      <c r="C30" s="9" t="s">
        <v>64</v>
      </c>
      <c r="D30" s="9" t="s">
        <v>142</v>
      </c>
      <c r="E30" s="7" t="s">
        <v>143</v>
      </c>
      <c r="F30" s="6">
        <v>13.829652249662766</v>
      </c>
    </row>
    <row r="31" spans="1:6" x14ac:dyDescent="0.25">
      <c r="A31" s="9">
        <v>29</v>
      </c>
      <c r="B31" s="9" t="s">
        <v>35</v>
      </c>
      <c r="C31" s="9" t="s">
        <v>35</v>
      </c>
      <c r="D31" s="9" t="s">
        <v>144</v>
      </c>
      <c r="E31" s="7" t="s">
        <v>143</v>
      </c>
      <c r="F31" s="6">
        <v>13.829652249662766</v>
      </c>
    </row>
    <row r="32" spans="1:6" x14ac:dyDescent="0.25">
      <c r="A32" s="9">
        <v>30</v>
      </c>
      <c r="B32" s="9" t="s">
        <v>77</v>
      </c>
      <c r="C32" s="9" t="s">
        <v>77</v>
      </c>
      <c r="D32" s="9" t="s">
        <v>145</v>
      </c>
      <c r="E32" s="7" t="s">
        <v>146</v>
      </c>
      <c r="F32" s="6">
        <v>14.141616854444822</v>
      </c>
    </row>
    <row r="33" spans="1:6" x14ac:dyDescent="0.25">
      <c r="A33" s="9">
        <v>31</v>
      </c>
      <c r="B33" s="9" t="s">
        <v>37</v>
      </c>
      <c r="C33" s="9" t="s">
        <v>37</v>
      </c>
      <c r="D33" s="9" t="s">
        <v>147</v>
      </c>
      <c r="E33" s="7" t="s">
        <v>148</v>
      </c>
      <c r="F33" s="6">
        <v>6.2361215361950615</v>
      </c>
    </row>
    <row r="34" spans="1:6" x14ac:dyDescent="0.25">
      <c r="A34" s="9">
        <v>32</v>
      </c>
      <c r="B34" s="9" t="s">
        <v>78</v>
      </c>
      <c r="C34" s="9" t="s">
        <v>78</v>
      </c>
      <c r="D34" s="9" t="s">
        <v>149</v>
      </c>
      <c r="E34" s="7" t="s">
        <v>150</v>
      </c>
      <c r="F34" s="6">
        <v>13.404293070651994</v>
      </c>
    </row>
    <row r="35" spans="1:6" x14ac:dyDescent="0.25">
      <c r="A35" s="9">
        <v>33</v>
      </c>
      <c r="B35" s="9" t="s">
        <v>87</v>
      </c>
      <c r="C35" s="9" t="s">
        <v>87</v>
      </c>
      <c r="D35" s="9" t="s">
        <v>151</v>
      </c>
      <c r="E35" s="7" t="s">
        <v>152</v>
      </c>
      <c r="F35" s="6">
        <v>13.404293070651969</v>
      </c>
    </row>
    <row r="36" spans="1:6" x14ac:dyDescent="0.25">
      <c r="A36" s="9"/>
      <c r="B36" s="9"/>
      <c r="C36" s="9"/>
      <c r="D36" s="9"/>
      <c r="E36" s="7"/>
    </row>
    <row r="37" spans="1:6" x14ac:dyDescent="0.25">
      <c r="A37" s="9"/>
      <c r="B37" s="9"/>
      <c r="C37" s="9"/>
      <c r="D37" s="9"/>
      <c r="E37"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3B419-A78E-472C-ACED-05593BCAAFD2}">
  <sheetPr codeName="Лист7">
    <tabColor rgb="FFFFC000"/>
  </sheetPr>
  <dimension ref="A1:J29"/>
  <sheetViews>
    <sheetView workbookViewId="0">
      <selection activeCell="D27" sqref="D27"/>
    </sheetView>
  </sheetViews>
  <sheetFormatPr defaultRowHeight="15.75" x14ac:dyDescent="0.25"/>
  <cols>
    <col min="1" max="2" width="9" style="10"/>
    <col min="3" max="3" width="22.5" customWidth="1"/>
    <col min="4" max="5" width="9" style="10"/>
    <col min="6" max="6" width="17.75" style="10" customWidth="1"/>
    <col min="7" max="7" width="12.75" customWidth="1"/>
  </cols>
  <sheetData>
    <row r="1" spans="1:10" x14ac:dyDescent="0.25">
      <c r="A1" s="10" t="s">
        <v>63</v>
      </c>
      <c r="B1" s="10" t="s">
        <v>15</v>
      </c>
      <c r="C1" t="s">
        <v>16</v>
      </c>
      <c r="D1" s="10" t="s">
        <v>17</v>
      </c>
      <c r="E1" s="10" t="s">
        <v>18</v>
      </c>
      <c r="F1" s="10" t="s">
        <v>19</v>
      </c>
      <c r="G1" t="s">
        <v>20</v>
      </c>
      <c r="H1" t="s">
        <v>62</v>
      </c>
      <c r="I1" t="s">
        <v>153</v>
      </c>
      <c r="J1" t="s">
        <v>154</v>
      </c>
    </row>
    <row r="2" spans="1:10" x14ac:dyDescent="0.25">
      <c r="A2" s="10">
        <v>0</v>
      </c>
      <c r="B2" s="10" t="s">
        <v>64</v>
      </c>
      <c r="C2" t="s">
        <v>30</v>
      </c>
      <c r="D2" s="10" t="s">
        <v>31</v>
      </c>
      <c r="E2" s="10" t="s">
        <v>64</v>
      </c>
      <c r="F2" s="10" t="s">
        <v>93</v>
      </c>
      <c r="G2" t="s">
        <v>21</v>
      </c>
      <c r="H2">
        <v>0</v>
      </c>
      <c r="I2" t="s">
        <v>155</v>
      </c>
      <c r="J2" t="s">
        <v>156</v>
      </c>
    </row>
    <row r="3" spans="1:10" x14ac:dyDescent="0.25">
      <c r="A3" s="10">
        <v>1</v>
      </c>
      <c r="B3" s="10" t="s">
        <v>35</v>
      </c>
      <c r="C3" t="s">
        <v>32</v>
      </c>
      <c r="D3" s="10" t="s">
        <v>31</v>
      </c>
      <c r="E3" s="10" t="s">
        <v>94</v>
      </c>
      <c r="F3" s="10" t="s">
        <v>95</v>
      </c>
      <c r="G3" t="s">
        <v>21</v>
      </c>
      <c r="H3">
        <v>0</v>
      </c>
      <c r="I3" t="s">
        <v>157</v>
      </c>
      <c r="J3" t="s">
        <v>156</v>
      </c>
    </row>
    <row r="4" spans="1:10" x14ac:dyDescent="0.25">
      <c r="A4" s="10">
        <v>2</v>
      </c>
      <c r="B4" s="10" t="s">
        <v>33</v>
      </c>
      <c r="C4" t="s">
        <v>34</v>
      </c>
      <c r="D4" s="10" t="s">
        <v>35</v>
      </c>
      <c r="E4" s="10" t="s">
        <v>103</v>
      </c>
      <c r="F4" s="10" t="s">
        <v>104</v>
      </c>
      <c r="G4" t="s">
        <v>21</v>
      </c>
      <c r="H4">
        <v>0</v>
      </c>
      <c r="I4" t="s">
        <v>158</v>
      </c>
      <c r="J4" t="s">
        <v>158</v>
      </c>
    </row>
    <row r="5" spans="1:10" x14ac:dyDescent="0.25">
      <c r="A5" s="10">
        <v>3</v>
      </c>
      <c r="B5" s="10" t="s">
        <v>66</v>
      </c>
      <c r="C5" t="s">
        <v>30</v>
      </c>
      <c r="D5" s="10" t="s">
        <v>27</v>
      </c>
      <c r="E5" s="10" t="s">
        <v>36</v>
      </c>
      <c r="F5" s="10" t="s">
        <v>90</v>
      </c>
      <c r="G5" t="s">
        <v>21</v>
      </c>
      <c r="H5">
        <v>0</v>
      </c>
      <c r="I5" t="s">
        <v>159</v>
      </c>
      <c r="J5" t="s">
        <v>159</v>
      </c>
    </row>
    <row r="6" spans="1:10" x14ac:dyDescent="0.25">
      <c r="A6" s="10">
        <v>4</v>
      </c>
      <c r="B6" s="10" t="s">
        <v>68</v>
      </c>
      <c r="C6" t="s">
        <v>38</v>
      </c>
      <c r="D6" s="10" t="s">
        <v>39</v>
      </c>
      <c r="E6" s="10" t="s">
        <v>60</v>
      </c>
      <c r="F6" s="10" t="s">
        <v>61</v>
      </c>
      <c r="G6" t="s">
        <v>21</v>
      </c>
      <c r="H6">
        <v>0</v>
      </c>
      <c r="I6" t="s">
        <v>160</v>
      </c>
      <c r="J6" t="s">
        <v>161</v>
      </c>
    </row>
    <row r="7" spans="1:10" x14ac:dyDescent="0.25">
      <c r="A7" s="10">
        <v>5</v>
      </c>
      <c r="B7" s="10" t="s">
        <v>69</v>
      </c>
      <c r="C7" t="s">
        <v>30</v>
      </c>
      <c r="D7" s="10" t="s">
        <v>64</v>
      </c>
      <c r="E7" s="10" t="s">
        <v>94</v>
      </c>
      <c r="F7" s="10" t="s">
        <v>105</v>
      </c>
      <c r="G7" t="s">
        <v>21</v>
      </c>
      <c r="H7">
        <v>0</v>
      </c>
      <c r="I7" t="s">
        <v>162</v>
      </c>
      <c r="J7" t="s">
        <v>162</v>
      </c>
    </row>
    <row r="8" spans="1:10" x14ac:dyDescent="0.25">
      <c r="A8" s="10">
        <v>6</v>
      </c>
      <c r="B8" s="10" t="s">
        <v>70</v>
      </c>
      <c r="C8" t="s">
        <v>30</v>
      </c>
      <c r="D8" s="10" t="s">
        <v>40</v>
      </c>
      <c r="E8" s="10" t="s">
        <v>96</v>
      </c>
      <c r="F8" s="10" t="s">
        <v>105</v>
      </c>
      <c r="G8" t="s">
        <v>21</v>
      </c>
      <c r="H8">
        <v>0</v>
      </c>
      <c r="I8" t="s">
        <v>163</v>
      </c>
      <c r="J8" t="s">
        <v>164</v>
      </c>
    </row>
    <row r="9" spans="1:10" x14ac:dyDescent="0.25">
      <c r="A9" s="10">
        <v>7</v>
      </c>
      <c r="B9" s="10" t="s">
        <v>71</v>
      </c>
      <c r="C9" t="s">
        <v>32</v>
      </c>
      <c r="D9" s="10" t="s">
        <v>40</v>
      </c>
      <c r="E9" s="10" t="s">
        <v>35</v>
      </c>
      <c r="F9" s="10" t="s">
        <v>97</v>
      </c>
      <c r="G9" t="s">
        <v>21</v>
      </c>
      <c r="H9">
        <v>0</v>
      </c>
      <c r="I9" t="s">
        <v>165</v>
      </c>
      <c r="J9" t="s">
        <v>164</v>
      </c>
    </row>
    <row r="10" spans="1:10" x14ac:dyDescent="0.25">
      <c r="A10" s="10">
        <v>8</v>
      </c>
      <c r="B10" s="10" t="s">
        <v>72</v>
      </c>
      <c r="C10" t="s">
        <v>41</v>
      </c>
      <c r="D10" s="10" t="s">
        <v>23</v>
      </c>
      <c r="E10" s="10" t="s">
        <v>44</v>
      </c>
      <c r="F10" s="10" t="s">
        <v>59</v>
      </c>
      <c r="G10" t="s">
        <v>21</v>
      </c>
      <c r="H10">
        <v>0</v>
      </c>
      <c r="I10" t="s">
        <v>166</v>
      </c>
      <c r="J10" t="s">
        <v>166</v>
      </c>
    </row>
    <row r="11" spans="1:10" x14ac:dyDescent="0.25">
      <c r="A11" s="10">
        <v>9</v>
      </c>
      <c r="B11" s="10" t="s">
        <v>73</v>
      </c>
      <c r="C11" t="s">
        <v>41</v>
      </c>
      <c r="D11" s="10" t="s">
        <v>65</v>
      </c>
      <c r="E11" s="10" t="s">
        <v>42</v>
      </c>
      <c r="F11" s="10" t="s">
        <v>43</v>
      </c>
      <c r="G11" t="s">
        <v>21</v>
      </c>
      <c r="H11">
        <v>0</v>
      </c>
      <c r="I11" t="s">
        <v>167</v>
      </c>
      <c r="J11" t="s">
        <v>167</v>
      </c>
    </row>
    <row r="12" spans="1:10" x14ac:dyDescent="0.25">
      <c r="A12" s="10">
        <v>10</v>
      </c>
      <c r="B12" s="10" t="s">
        <v>74</v>
      </c>
      <c r="C12" t="s">
        <v>41</v>
      </c>
      <c r="D12" s="10" t="s">
        <v>67</v>
      </c>
      <c r="E12" s="10" t="s">
        <v>57</v>
      </c>
      <c r="F12" s="10" t="s">
        <v>58</v>
      </c>
      <c r="G12" t="s">
        <v>21</v>
      </c>
      <c r="H12">
        <v>0</v>
      </c>
      <c r="I12" t="s">
        <v>168</v>
      </c>
      <c r="J12" t="s">
        <v>168</v>
      </c>
    </row>
    <row r="13" spans="1:10" x14ac:dyDescent="0.25">
      <c r="A13" s="10">
        <v>11</v>
      </c>
      <c r="B13" s="10" t="s">
        <v>75</v>
      </c>
      <c r="C13" t="s">
        <v>41</v>
      </c>
      <c r="D13" s="10" t="s">
        <v>23</v>
      </c>
      <c r="E13" s="10" t="s">
        <v>44</v>
      </c>
      <c r="F13" s="10" t="s">
        <v>59</v>
      </c>
      <c r="G13" t="s">
        <v>28</v>
      </c>
      <c r="H13">
        <v>0</v>
      </c>
      <c r="I13" t="s">
        <v>169</v>
      </c>
      <c r="J13" t="s">
        <v>169</v>
      </c>
    </row>
    <row r="14" spans="1:10" x14ac:dyDescent="0.25">
      <c r="A14" s="10">
        <v>12</v>
      </c>
      <c r="B14" s="10" t="s">
        <v>76</v>
      </c>
      <c r="C14" t="s">
        <v>41</v>
      </c>
      <c r="D14" s="10" t="s">
        <v>35</v>
      </c>
      <c r="E14" s="10" t="s">
        <v>44</v>
      </c>
      <c r="F14" s="10" t="s">
        <v>89</v>
      </c>
      <c r="G14" t="s">
        <v>21</v>
      </c>
      <c r="H14">
        <v>0</v>
      </c>
      <c r="I14" t="s">
        <v>170</v>
      </c>
      <c r="J14" t="s">
        <v>170</v>
      </c>
    </row>
    <row r="15" spans="1:10" x14ac:dyDescent="0.25">
      <c r="A15" s="10">
        <v>13</v>
      </c>
      <c r="B15" s="10" t="s">
        <v>77</v>
      </c>
      <c r="C15" t="s">
        <v>29</v>
      </c>
      <c r="D15" s="10" t="s">
        <v>45</v>
      </c>
      <c r="E15" s="10" t="s">
        <v>35</v>
      </c>
      <c r="F15" s="10" t="s">
        <v>101</v>
      </c>
      <c r="G15" t="s">
        <v>21</v>
      </c>
      <c r="H15">
        <v>0</v>
      </c>
      <c r="I15" t="s">
        <v>171</v>
      </c>
      <c r="J15" t="s">
        <v>172</v>
      </c>
    </row>
    <row r="16" spans="1:10" x14ac:dyDescent="0.25">
      <c r="A16" s="10">
        <v>14</v>
      </c>
      <c r="B16" s="10" t="s">
        <v>37</v>
      </c>
      <c r="C16" t="s">
        <v>29</v>
      </c>
      <c r="D16" s="10" t="s">
        <v>46</v>
      </c>
      <c r="E16" s="10" t="s">
        <v>67</v>
      </c>
      <c r="F16" s="10" t="s">
        <v>98</v>
      </c>
      <c r="G16" t="s">
        <v>21</v>
      </c>
      <c r="H16">
        <v>0</v>
      </c>
      <c r="I16" t="s">
        <v>160</v>
      </c>
      <c r="J16" t="s">
        <v>161</v>
      </c>
    </row>
    <row r="17" spans="1:10" x14ac:dyDescent="0.25">
      <c r="A17" s="10">
        <v>15</v>
      </c>
      <c r="B17" s="10" t="s">
        <v>78</v>
      </c>
      <c r="C17" t="s">
        <v>24</v>
      </c>
      <c r="D17" s="10" t="s">
        <v>47</v>
      </c>
      <c r="E17" s="10" t="s">
        <v>99</v>
      </c>
      <c r="F17" s="10" t="s">
        <v>22</v>
      </c>
      <c r="G17" t="s">
        <v>21</v>
      </c>
      <c r="H17">
        <v>1</v>
      </c>
      <c r="I17" t="s">
        <v>173</v>
      </c>
      <c r="J17" t="s">
        <v>174</v>
      </c>
    </row>
    <row r="18" spans="1:10" x14ac:dyDescent="0.25">
      <c r="A18" s="10">
        <v>16</v>
      </c>
      <c r="B18" s="10" t="s">
        <v>79</v>
      </c>
      <c r="C18" t="s">
        <v>24</v>
      </c>
      <c r="D18" s="10" t="s">
        <v>64</v>
      </c>
      <c r="E18" s="10" t="s">
        <v>99</v>
      </c>
      <c r="F18" s="10" t="s">
        <v>22</v>
      </c>
      <c r="G18" t="s">
        <v>21</v>
      </c>
      <c r="H18">
        <v>1</v>
      </c>
      <c r="I18" t="s">
        <v>175</v>
      </c>
      <c r="J18" t="s">
        <v>175</v>
      </c>
    </row>
    <row r="19" spans="1:10" x14ac:dyDescent="0.25">
      <c r="A19" s="10">
        <v>17</v>
      </c>
      <c r="B19" s="10" t="s">
        <v>123</v>
      </c>
      <c r="C19" t="s">
        <v>49</v>
      </c>
      <c r="D19" s="10">
        <v>1</v>
      </c>
      <c r="E19" s="10">
        <v>0.4</v>
      </c>
      <c r="F19" s="10">
        <v>0.01</v>
      </c>
      <c r="G19" t="s">
        <v>21</v>
      </c>
      <c r="H19">
        <v>0</v>
      </c>
      <c r="I19" t="s">
        <v>176</v>
      </c>
      <c r="J19" t="s">
        <v>176</v>
      </c>
    </row>
    <row r="20" spans="1:10" x14ac:dyDescent="0.25">
      <c r="A20" s="10">
        <v>18</v>
      </c>
      <c r="B20" s="10" t="s">
        <v>125</v>
      </c>
      <c r="C20" t="s">
        <v>186</v>
      </c>
      <c r="D20" s="10">
        <v>1</v>
      </c>
      <c r="E20" s="10">
        <v>0.4</v>
      </c>
      <c r="F20" s="10">
        <v>0.2</v>
      </c>
      <c r="G20" t="s">
        <v>177</v>
      </c>
      <c r="H20">
        <v>0</v>
      </c>
      <c r="I20" t="s">
        <v>176</v>
      </c>
      <c r="J20" t="s">
        <v>176</v>
      </c>
    </row>
    <row r="21" spans="1:10" x14ac:dyDescent="0.25">
      <c r="A21" s="10">
        <v>19</v>
      </c>
      <c r="B21" s="10" t="s">
        <v>126</v>
      </c>
      <c r="C21" t="s">
        <v>186</v>
      </c>
      <c r="D21" s="10">
        <v>1</v>
      </c>
      <c r="E21" s="10">
        <v>0.4</v>
      </c>
      <c r="F21" s="10">
        <v>0.05</v>
      </c>
      <c r="G21" t="s">
        <v>177</v>
      </c>
      <c r="H21">
        <v>0</v>
      </c>
      <c r="I21" t="s">
        <v>176</v>
      </c>
      <c r="J21" t="s">
        <v>176</v>
      </c>
    </row>
    <row r="22" spans="1:10" x14ac:dyDescent="0.25">
      <c r="A22" s="10">
        <v>20</v>
      </c>
      <c r="B22" s="10" t="s">
        <v>50</v>
      </c>
      <c r="C22" t="s">
        <v>49</v>
      </c>
      <c r="D22" s="10" t="s">
        <v>64</v>
      </c>
      <c r="E22" s="10" t="s">
        <v>91</v>
      </c>
      <c r="F22" s="10" t="s">
        <v>92</v>
      </c>
      <c r="G22" t="s">
        <v>21</v>
      </c>
      <c r="H22">
        <v>0</v>
      </c>
      <c r="I22" t="s">
        <v>176</v>
      </c>
      <c r="J22" t="s">
        <v>176</v>
      </c>
    </row>
    <row r="23" spans="1:10" x14ac:dyDescent="0.25">
      <c r="A23" s="10">
        <v>21</v>
      </c>
      <c r="B23" s="10" t="s">
        <v>51</v>
      </c>
      <c r="C23" t="s">
        <v>34</v>
      </c>
      <c r="D23" s="10" t="s">
        <v>65</v>
      </c>
      <c r="E23" s="10" t="s">
        <v>26</v>
      </c>
      <c r="F23" s="10" t="s">
        <v>52</v>
      </c>
      <c r="G23" t="s">
        <v>21</v>
      </c>
      <c r="H23">
        <v>0</v>
      </c>
      <c r="I23" t="s">
        <v>178</v>
      </c>
      <c r="J23" t="s">
        <v>178</v>
      </c>
    </row>
    <row r="24" spans="1:10" x14ac:dyDescent="0.25">
      <c r="A24" s="10">
        <v>22</v>
      </c>
      <c r="B24" s="10" t="s">
        <v>53</v>
      </c>
      <c r="C24" t="s">
        <v>49</v>
      </c>
      <c r="D24" s="10" t="s">
        <v>35</v>
      </c>
      <c r="E24" s="10" t="s">
        <v>91</v>
      </c>
      <c r="F24" s="10" t="s">
        <v>92</v>
      </c>
      <c r="G24" t="s">
        <v>21</v>
      </c>
      <c r="H24">
        <v>0</v>
      </c>
      <c r="I24" t="s">
        <v>179</v>
      </c>
      <c r="J24" t="s">
        <v>179</v>
      </c>
    </row>
    <row r="25" spans="1:10" x14ac:dyDescent="0.25">
      <c r="A25" s="10">
        <v>23</v>
      </c>
      <c r="B25" s="10" t="s">
        <v>86</v>
      </c>
      <c r="C25" t="s">
        <v>49</v>
      </c>
      <c r="D25" s="10" t="s">
        <v>67</v>
      </c>
      <c r="E25" s="10" t="s">
        <v>91</v>
      </c>
      <c r="F25" s="10" t="s">
        <v>92</v>
      </c>
      <c r="G25" t="s">
        <v>21</v>
      </c>
      <c r="H25">
        <v>0</v>
      </c>
      <c r="I25" t="s">
        <v>180</v>
      </c>
      <c r="J25" t="s">
        <v>180</v>
      </c>
    </row>
    <row r="26" spans="1:10" x14ac:dyDescent="0.25">
      <c r="A26" s="10">
        <v>24</v>
      </c>
      <c r="B26" s="10" t="s">
        <v>54</v>
      </c>
      <c r="C26" t="s">
        <v>49</v>
      </c>
      <c r="D26" s="10" t="s">
        <v>25</v>
      </c>
      <c r="E26" s="10" t="s">
        <v>57</v>
      </c>
      <c r="F26" s="10" t="s">
        <v>58</v>
      </c>
      <c r="G26" t="s">
        <v>21</v>
      </c>
      <c r="H26">
        <v>0</v>
      </c>
      <c r="I26" t="s">
        <v>180</v>
      </c>
      <c r="J26" t="s">
        <v>180</v>
      </c>
    </row>
    <row r="27" spans="1:10" x14ac:dyDescent="0.25">
      <c r="A27" s="10">
        <v>25</v>
      </c>
      <c r="B27" s="10" t="s">
        <v>88</v>
      </c>
      <c r="C27" t="s">
        <v>49</v>
      </c>
      <c r="D27" s="10" t="s">
        <v>25</v>
      </c>
      <c r="E27" s="10" t="s">
        <v>57</v>
      </c>
      <c r="F27" s="10" t="s">
        <v>58</v>
      </c>
      <c r="G27" t="s">
        <v>21</v>
      </c>
      <c r="H27">
        <v>0</v>
      </c>
      <c r="I27" t="s">
        <v>181</v>
      </c>
      <c r="J27" t="s">
        <v>181</v>
      </c>
    </row>
    <row r="28" spans="1:10" x14ac:dyDescent="0.25">
      <c r="A28" s="10">
        <v>26</v>
      </c>
      <c r="B28" s="10" t="s">
        <v>55</v>
      </c>
      <c r="C28" t="s">
        <v>49</v>
      </c>
      <c r="D28" s="10" t="s">
        <v>35</v>
      </c>
      <c r="E28" s="10" t="s">
        <v>91</v>
      </c>
      <c r="F28" s="10" t="s">
        <v>92</v>
      </c>
      <c r="G28" t="s">
        <v>21</v>
      </c>
      <c r="H28">
        <v>0</v>
      </c>
      <c r="I28" t="s">
        <v>182</v>
      </c>
      <c r="J28" t="s">
        <v>182</v>
      </c>
    </row>
    <row r="29" spans="1:10" x14ac:dyDescent="0.25">
      <c r="A29" s="10">
        <v>27</v>
      </c>
      <c r="B29" s="10" t="s">
        <v>87</v>
      </c>
      <c r="C29" t="s">
        <v>49</v>
      </c>
      <c r="D29" s="10" t="s">
        <v>56</v>
      </c>
      <c r="E29" s="10" t="s">
        <v>96</v>
      </c>
      <c r="F29" s="10" t="s">
        <v>100</v>
      </c>
      <c r="G29" t="s">
        <v>21</v>
      </c>
      <c r="H29">
        <v>0</v>
      </c>
      <c r="I29" t="s">
        <v>183</v>
      </c>
      <c r="J29" t="s">
        <v>184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F26" sqref="F26"/>
    </sheetView>
  </sheetViews>
  <sheetFormatPr defaultRowHeight="15.75" x14ac:dyDescent="0.25"/>
  <cols>
    <col min="1" max="2" width="9" style="10"/>
  </cols>
  <sheetData>
    <row r="1" spans="1:3" x14ac:dyDescent="0.25">
      <c r="A1" s="10" t="s">
        <v>63</v>
      </c>
      <c r="B1" s="10" t="s">
        <v>16</v>
      </c>
      <c r="C1" t="s">
        <v>109</v>
      </c>
    </row>
    <row r="2" spans="1:3" x14ac:dyDescent="0.25">
      <c r="A2" s="10">
        <v>0</v>
      </c>
      <c r="B2" s="10" t="s">
        <v>187</v>
      </c>
      <c r="C2" t="s">
        <v>188</v>
      </c>
    </row>
    <row r="3" spans="1:3" x14ac:dyDescent="0.25">
      <c r="A3" s="10">
        <v>1</v>
      </c>
      <c r="B3" s="10" t="s">
        <v>189</v>
      </c>
      <c r="C3" t="s">
        <v>190</v>
      </c>
    </row>
    <row r="4" spans="1:3" x14ac:dyDescent="0.25">
      <c r="A4" s="10">
        <v>2</v>
      </c>
      <c r="B4" s="10" t="s">
        <v>191</v>
      </c>
      <c r="C4" t="s">
        <v>192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E5172-E442-4A43-B84A-7CFC98913823}">
  <sheetPr codeName="Лист8">
    <tabColor rgb="FFFFC000"/>
  </sheetPr>
  <dimension ref="A1:B3"/>
  <sheetViews>
    <sheetView tabSelected="1" workbookViewId="0">
      <selection activeCell="L19" sqref="L19"/>
    </sheetView>
  </sheetViews>
  <sheetFormatPr defaultRowHeight="15.75" x14ac:dyDescent="0.25"/>
  <cols>
    <col min="1" max="1" width="9" style="10"/>
  </cols>
  <sheetData>
    <row r="1" spans="1:2" x14ac:dyDescent="0.25">
      <c r="A1" s="10" t="s">
        <v>63</v>
      </c>
      <c r="B1" t="s">
        <v>109</v>
      </c>
    </row>
    <row r="2" spans="1:2" x14ac:dyDescent="0.25">
      <c r="A2" s="10">
        <v>0</v>
      </c>
      <c r="B2" t="s">
        <v>193</v>
      </c>
    </row>
    <row r="3" spans="1:2" x14ac:dyDescent="0.25">
      <c r="A3" s="10">
        <v>1</v>
      </c>
      <c r="B3" t="s">
        <v>194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N23"/>
  <sheetViews>
    <sheetView workbookViewId="0">
      <selection activeCell="I24" sqref="I24"/>
    </sheetView>
  </sheetViews>
  <sheetFormatPr defaultRowHeight="15.75" x14ac:dyDescent="0.25"/>
  <cols>
    <col min="1" max="2" width="9" style="10"/>
    <col min="3" max="3" width="38.625" customWidth="1"/>
    <col min="4" max="4" width="14.125" customWidth="1"/>
  </cols>
  <sheetData>
    <row r="1" spans="12:13" x14ac:dyDescent="0.25">
      <c r="L1" s="10"/>
      <c r="M1" s="10"/>
    </row>
    <row r="2" spans="12:13" x14ac:dyDescent="0.25">
      <c r="L2" s="10"/>
      <c r="M2" s="10"/>
    </row>
    <row r="3" spans="12:13" x14ac:dyDescent="0.25">
      <c r="L3" s="10"/>
      <c r="M3" s="10"/>
    </row>
    <row r="4" spans="12:13" x14ac:dyDescent="0.25">
      <c r="L4" s="10"/>
      <c r="M4" s="10"/>
    </row>
    <row r="5" spans="12:13" x14ac:dyDescent="0.25">
      <c r="L5" s="10"/>
      <c r="M5" s="10"/>
    </row>
    <row r="6" spans="12:13" x14ac:dyDescent="0.25">
      <c r="L6" s="10"/>
      <c r="M6" s="10"/>
    </row>
    <row r="7" spans="12:13" x14ac:dyDescent="0.25">
      <c r="L7" s="10"/>
      <c r="M7" s="10"/>
    </row>
    <row r="8" spans="12:13" x14ac:dyDescent="0.25">
      <c r="L8" s="10"/>
      <c r="M8" s="10"/>
    </row>
    <row r="9" spans="12:13" x14ac:dyDescent="0.25">
      <c r="L9" s="10"/>
      <c r="M9" s="10"/>
    </row>
    <row r="10" spans="12:13" x14ac:dyDescent="0.25">
      <c r="L10" s="10"/>
      <c r="M10" s="10"/>
    </row>
    <row r="11" spans="12:13" x14ac:dyDescent="0.25">
      <c r="L11" s="10"/>
      <c r="M11" s="10"/>
    </row>
    <row r="12" spans="12:13" x14ac:dyDescent="0.25">
      <c r="L12" s="10"/>
      <c r="M12" s="10"/>
    </row>
    <row r="13" spans="12:13" x14ac:dyDescent="0.25">
      <c r="L13" s="10"/>
      <c r="M13" s="10"/>
    </row>
    <row r="14" spans="12:13" x14ac:dyDescent="0.25">
      <c r="L14" s="10"/>
      <c r="M14" s="10"/>
    </row>
    <row r="15" spans="12:13" x14ac:dyDescent="0.25">
      <c r="L15" s="10"/>
      <c r="M15" s="10"/>
    </row>
    <row r="16" spans="12:13" x14ac:dyDescent="0.25">
      <c r="L16" s="10"/>
      <c r="M16" s="10"/>
    </row>
    <row r="17" spans="12:14" x14ac:dyDescent="0.25">
      <c r="L17" s="10"/>
      <c r="M17" s="10"/>
    </row>
    <row r="18" spans="12:14" x14ac:dyDescent="0.25">
      <c r="L18" s="10"/>
      <c r="M18" s="10"/>
    </row>
    <row r="21" spans="12:14" x14ac:dyDescent="0.25">
      <c r="M21" s="10"/>
      <c r="N21" s="10"/>
    </row>
    <row r="22" spans="12:14" x14ac:dyDescent="0.25">
      <c r="M22" s="10"/>
      <c r="N22" s="10"/>
    </row>
    <row r="23" spans="12:14" x14ac:dyDescent="0.25">
      <c r="M23" s="10"/>
      <c r="N23"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B1"/>
  <sheetViews>
    <sheetView workbookViewId="0">
      <selection activeCell="G17" sqref="G17"/>
    </sheetView>
  </sheetViews>
  <sheetFormatPr defaultRowHeight="15.75" x14ac:dyDescent="0.25"/>
  <cols>
    <col min="1" max="2" width="9" style="10"/>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B1"/>
  <sheetViews>
    <sheetView workbookViewId="0">
      <selection activeCell="F27" sqref="F27"/>
    </sheetView>
  </sheetViews>
  <sheetFormatPr defaultRowHeight="15.75" x14ac:dyDescent="0.25"/>
  <cols>
    <col min="1" max="2" width="9" style="10"/>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9</vt:i4>
      </vt:variant>
    </vt:vector>
  </HeadingPairs>
  <TitlesOfParts>
    <vt:vector size="9" baseType="lpstr">
      <vt:lpstr>_xlwings.conf</vt:lpstr>
      <vt:lpstr>Ведомость</vt:lpstr>
      <vt:lpstr>Автокад</vt:lpstr>
      <vt:lpstr>Ведомость ОРМ</vt:lpstr>
      <vt:lpstr>Зоны</vt:lpstr>
      <vt:lpstr>Охранные 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Мысливец</cp:lastModifiedBy>
  <dcterms:created xsi:type="dcterms:W3CDTF">2015-01-25T11:31:25Z</dcterms:created>
  <dcterms:modified xsi:type="dcterms:W3CDTF">2025-01-13T08:42:42Z</dcterms:modified>
</cp:coreProperties>
</file>