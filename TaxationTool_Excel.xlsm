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82E444BC-CAE3-4A51-8092-BE8483680173}" xr6:coauthVersionLast="45" xr6:coauthVersionMax="47" xr10:uidLastSave="{00000000-0000-0000-0000-000000000000}"/>
  <bookViews>
    <workbookView xWindow="58455" yWindow="2475" windowWidth="21975" windowHeight="15915" tabRatio="748" firstSheet="1" activeTab="6" xr2:uid="{00000000-000D-0000-FFFF-FFFF00000000}"/>
  </bookViews>
  <sheets>
    <sheet name="_xlwings.conf" sheetId="2" state="hidden" r:id="rId1"/>
    <sheet name="Ведомость" sheetId="3" r:id="rId2"/>
    <sheet name="Автокад" sheetId="5" r:id="rId3"/>
    <sheet name="Ведомость ОРМ" sheetId="13" r:id="rId4"/>
    <sheet name="Зоны" sheetId="7" r:id="rId5"/>
    <sheet name="Охранные зоны" sheetId="14" r:id="rId6"/>
    <sheet name="Зона 1" sheetId="8" r:id="rId7"/>
    <sheet name="Зона 2" sheetId="12" r:id="rId8"/>
    <sheet name="Зона 3" sheetId="11" r:id="rId9"/>
  </sheets>
  <functionGroups builtInGroupCount="19">
    <functionGroup name="xlwings"/>
  </functionGroups>
  <calcPr calcId="181029"/>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 name="insert_zone_objects">
          <x14:argumentDescriptions count="1">
            <x14:argumentDescription index="0">Positional argument 1</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H2" i="3" l="1"/>
  <c r="H4" i="3"/>
  <c r="H6" i="3"/>
  <c r="I2" i="3"/>
  <c r="H19" i="3"/>
  <c r="H20" i="3"/>
  <c r="H3" i="3"/>
  <c r="H15" i="3"/>
  <c r="H21" i="3"/>
  <c r="H27" i="3"/>
  <c r="I19" i="3"/>
  <c r="I15" i="3"/>
  <c r="I3" i="3"/>
  <c r="H11" i="3"/>
  <c r="I11" i="3" s="1"/>
  <c r="H22" i="3"/>
  <c r="I22" i="3" s="1"/>
  <c r="H13" i="3"/>
  <c r="H12" i="3"/>
  <c r="H26" i="3"/>
  <c r="I26" i="3" s="1"/>
  <c r="H14" i="3"/>
  <c r="I14" i="3" s="1"/>
  <c r="H25" i="3"/>
  <c r="I12" i="3"/>
  <c r="I13" i="3"/>
  <c r="H8" i="3"/>
  <c r="I8" i="3" s="1"/>
  <c r="H7" i="3"/>
  <c r="I21" i="3"/>
  <c r="I27" i="3"/>
  <c r="H23" i="3"/>
  <c r="I23" i="3" s="1"/>
  <c r="H16" i="3"/>
  <c r="I20" i="3"/>
  <c r="I25" i="3"/>
  <c r="H18" i="3"/>
  <c r="I18" i="3" s="1"/>
  <c r="H9" i="3"/>
  <c r="I9" i="3" s="1"/>
  <c r="H5" i="3"/>
  <c r="I6" i="3"/>
  <c r="I16" i="3"/>
  <c r="I7" i="3"/>
  <c r="H24" i="3"/>
  <c r="I24" i="3" s="1"/>
  <c r="H10" i="3"/>
  <c r="I10" i="3" s="1"/>
  <c r="H17" i="3"/>
  <c r="I17" i="3" s="1"/>
  <c r="I4" i="3"/>
  <c r="I5" i="3"/>
</calcChain>
</file>

<file path=xl/sharedStrings.xml><?xml version="1.0" encoding="utf-8"?>
<sst xmlns="http://schemas.openxmlformats.org/spreadsheetml/2006/main" count="967" uniqueCount="200">
  <si>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</si>
  <si>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</si>
  <si>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</si>
  <si>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</si>
  <si>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</si>
  <si>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</si>
  <si>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</si>
  <si>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</si>
  <si>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</si>
  <si>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</si>
  <si>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</si>
  <si>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</si>
  <si>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</si>
  <si>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</si>
  <si>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</si>
  <si>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</si>
  <si>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</si>
  <si>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</si>
  <si>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</si>
  <si>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</si>
  <si>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</si>
  <si>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</si>
  <si>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</si>
  <si>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</si>
  <si>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</si>
  <si>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</si>
  <si>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</si>
  <si>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</si>
  <si>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</si>
  <si>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</si>
  <si>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</si>
  <si>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</si>
  <si>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</si>
  <si>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</si>
  <si>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</si>
  <si>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</si>
  <si>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</si>
  <si>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</si>
  <si>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</si>
  <si>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</si>
  <si>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</si>
  <si>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</si>
  <si>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</si>
  <si>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</si>
  <si>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</si>
  <si>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</si>
  <si>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</si>
  <si>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</si>
  <si>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</si>
  <si>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</si>
  <si>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</si>
  <si>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</si>
  <si>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</si>
  <si>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</si>
  <si>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</si>
  <si>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</si>
  <si>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</si>
  <si>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</si>
  <si>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</si>
  <si>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</si>
  <si>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</si>
  <si>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</si>
  <si>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</si>
  <si>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Индекс</t>
  </si>
  <si>
    <t>1</t>
  </si>
  <si>
    <t>4</t>
  </si>
  <si>
    <t>5</t>
  </si>
  <si>
    <t>3</t>
  </si>
  <si>
    <t>6</t>
  </si>
  <si>
    <t>7</t>
  </si>
  <si>
    <t>8</t>
  </si>
  <si>
    <t>9</t>
  </si>
  <si>
    <t>10</t>
  </si>
  <si>
    <t>11</t>
  </si>
  <si>
    <t>12</t>
  </si>
  <si>
    <t>13</t>
  </si>
  <si>
    <t>14</t>
  </si>
  <si>
    <t>15</t>
  </si>
  <si>
    <t>17</t>
  </si>
  <si>
    <t>18</t>
  </si>
  <si>
    <t>20</t>
  </si>
  <si>
    <t>21</t>
  </si>
  <si>
    <t>22</t>
  </si>
  <si>
    <t>23</t>
  </si>
  <si>
    <t>24</t>
  </si>
  <si>
    <t>25</t>
  </si>
  <si>
    <t>26</t>
  </si>
  <si>
    <t>28</t>
  </si>
  <si>
    <t>27.1</t>
  </si>
  <si>
    <t>0.03х2</t>
  </si>
  <si>
    <t>5,5,5,5,5,5</t>
  </si>
  <si>
    <t>0.4</t>
  </si>
  <si>
    <t>0.01</t>
  </si>
  <si>
    <t>0.1</t>
  </si>
  <si>
    <t>2.5</t>
  </si>
  <si>
    <t>0.08</t>
  </si>
  <si>
    <t>1.5</t>
  </si>
  <si>
    <t>0.06</t>
  </si>
  <si>
    <t>0.12</t>
  </si>
  <si>
    <t>0.5</t>
  </si>
  <si>
    <t>0.03</t>
  </si>
  <si>
    <t>0.07</t>
  </si>
  <si>
    <t>Валидация</t>
  </si>
  <si>
    <t>5,5</t>
  </si>
  <si>
    <t>4,5</t>
  </si>
  <si>
    <t>0.05</t>
  </si>
  <si>
    <t>Хорошее, плохое 2</t>
  </si>
  <si>
    <t>Разделенный номер</t>
  </si>
  <si>
    <t>Позиция номера</t>
  </si>
  <si>
    <t>Геометрия</t>
  </si>
  <si>
    <t>Размер</t>
  </si>
  <si>
    <t>POINT (3108.838205298518 1707.285109871409)</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</si>
  <si>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</si>
  <si>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</si>
  <si>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</si>
  <si>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</si>
  <si>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</si>
  <si>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</si>
  <si>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</si>
  <si>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</si>
  <si>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</si>
  <si>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</si>
  <si>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</si>
  <si>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19а</t>
  </si>
  <si>
    <t>POINT (3115.8767179014208 1710.2258575299381)</t>
  </si>
  <si>
    <t>19б</t>
  </si>
  <si>
    <t>19в</t>
  </si>
  <si>
    <t>19г</t>
  </si>
  <si>
    <t>POINT (3115.0061404912108 1715.72499227971)</t>
  </si>
  <si>
    <t>POINT (3113.301828595038 1716.110113041026)</t>
  </si>
  <si>
    <t>POINT (3112.086560913637 1715.354679146507)</t>
  </si>
  <si>
    <t>POINT (3109.758842254726 1716.964399774057)</t>
  </si>
  <si>
    <t>26,26а</t>
  </si>
  <si>
    <t>POINT (3102.168668723462 1708.5065675452358)</t>
  </si>
  <si>
    <t>27.1-27.3</t>
  </si>
  <si>
    <t>POINT (3102.4476191511308 1705.577447903106)</t>
  </si>
  <si>
    <t>27.2</t>
  </si>
  <si>
    <t>27.3</t>
  </si>
  <si>
    <t>POINT (3106.665839634858 1703.063361392738)</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</si>
  <si>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</si>
  <si>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</si>
  <si>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</si>
  <si>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</si>
  <si>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</si>
  <si>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</si>
  <si>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</si>
  <si>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</si>
  <si>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</si>
  <si>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POINT (3100.4190364519973 1697.392114117334)</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</si>
  <si>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3100.1756714934804 1697.239015066131, 3100.148345316885 1697.230896338491, 3100.121043650454 1697.224415905804, 3100.093766453377 1697.2195148855249, 3100.066513684846 1697.216134395105, 3100.039285304049 1697.214215552001,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3099.6337583698937 1697.3207904515962, 3099.580094609621 1697.348170070841, 3099.526525462005 1697.3771567360009, 3099.313188468587 1697.499752648339, 3099.2070791594397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3098.4131861110136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3097.0945464584747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1692.430827938158, 3099.3558205282843 1692.5298273699718, 3099.510532964635 1692.6562215368122, 3099.649920850755 1692.8071289737359, 3099.776100142384 1692.979668215806, 3099.8911867952665 1693.170957798077, 3099.997296765145 1693.3781162556108, 3100.096546007764 1693.598262123466, 3100.282926134187 1694.065990230376, 3100.467127250995 1694.551134079575, 3100.651881168635 1695.035502661798, 3100.8133033714116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</si>
  <si>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Плохое</t>
  </si>
  <si>
    <t>0.01, 0.2, 0.05</t>
  </si>
  <si>
    <t>Берёза пушистая (пень)</t>
  </si>
  <si>
    <t>Зона 1</t>
  </si>
  <si>
    <t>POLYGON ((3119.998163227592 1712.652575184729, 3118.3306408775707 1704.572439789293, 3116.6631185275487 1696.492304393858, 3088.43150073497 1702.318550037341, 3089.86853687141 1709.814916853105, 3119.998163227592 1712.652575184729), (3095.7404488753336 1709.2628710747251, 3092.397625979712 1709.2628710747251, 3092.397625979712 1706.199486894884, 3095.7404488753336 1706.199486894884, 3095.7404488753336 1707.731178984804, 3095.7404488753336 1709.2628710747251), (3096.4934837353185 1704.9395142396809, 3093.1506608396967 1704.9395142396809, 3093.1506608396967 1701.8761300598399, 3096.4934837353185 1701.8761300598399, 3096.4934837353185 1703.4078221497598, 3096.4934837353185 1704.9395142396809))</t>
  </si>
  <si>
    <t>Зона 2</t>
  </si>
  <si>
    <t>MULTIPOLYGON (((3117.421038375149 1688.159134470744, 3116.6631185275487 1696.492304393858, 3088.43150073497 1702.318550037341, 3073.500525734984 1700.2563416009589, 3073.109798843365 1696.2145034960058, 3115.715104025698 1684.635421588338, 3117.421038375149 1688.159134470744)), ((3109.7376036775877 1711.6862186176081, 3109.675011559375 1716.459185933584, 3115.913669906229 1716.5409989473528, 3114.8032232790556 1712.163307098462, 3109.7376036775877 1711.6862186176081)), ((3095.7404488753336 1706.199486894884, 3092.397625979712 1706.199486894884, 3092.397625979712 1709.2628710747251, 3095.7404488753336 1709.2628710747251, 3095.7404488753336 1708.4053276445902, 3101.248251898981 1704.750514954454, 3095.7404488753336 1708.4053276445902, 3095.7404488753336 1706.199486894884)))</t>
  </si>
  <si>
    <t>Зона 3</t>
  </si>
  <si>
    <t>MULTIPOLYGON (((3107.360738445024 1711.4623614960299, 3096.936086008901 1716.3910051735888, 3096.2944353043376 1713.61134616081, 3101.257282385263 1710.8875278510668, 3107.360738445024 1711.4623614960299)), ((3117.764226438069 1701.827825684997, 3122.123443996261 1699.435304535838, 3122.978988696762 1704.078250531232, 3118.6509433904903 1706.124495551453, 3117.764226438069 1701.827825684997)))</t>
  </si>
  <si>
    <t/>
  </si>
  <si>
    <t>POLYGON ((3112.181656131297 1678.9352283050696, 3106.8217259717785 1671.8916859713563, 3062.8490400313585 1680.9122340073482, 3060.863952507645 1692.2781290067196, 3077.7925302024632 1705.9001192014703, 3078.42456970402 1705.9815483431837, 3079.0568817127823 1706.0595013835004, 3079.6897387359563 1706.1305022210242, 3080.3234132807474 1706.1910747543584, 3080.9581777519993 1706.2377434961356, 3081.5941492203588 1706.267964747002, 3082.230976699074 1706.2820024976058, 3082.868221395222 1706.2806474528652, 3083.5054445158794 1706.2646903176992, 3084.1422072681225 1706.2349217970261, 3084.778077163478 1706.1921053397948, 3085.4127393224207 1706.1364959371674, 3086.0459830107166 1706.0678983298526, 3086.6776010933645 1705.9861016980246, 3087.307386435363 1705.8908952218576, 3087.9351279003413 1705.7820796606134, 3088.5605548417147 1705.659627983117, 3089.183350986319 1705.5236451915478, 3089.803198897923 1705.3742396537443, 3090.4197811402955 1705.2115197375463, 3091.0327802772063 1705.035593810792, 3091.6418788724245 1704.8465702413214, 3092.246759489719 1704.6445573969727, 3092.847104817624 1704.4296636712984, 3093.4426154176513 1704.2020011413208, 3094.033028166928 1703.9616893684054, 3094.6180843478915 1703.7088488218149, 3095.1975252429793 1703.443599970812, 3095.7710921346284 1703.1660632846595, 3096.3385263052755 1702.87635923262, 3096.899569316132 1702.5746082686037, 3097.4539797670986 1702.2609299081887, 3098.0015428491774 1701.935442202561, 3098.5420460620794 1701.5982630757649, 3099.0752769055143 1701.2495104518443, 3099.601022879193 1700.8893022548439, 3100.119069488514 1700.517761311179, 3100.6291783661686 1700.135069130593, 3101.131095409584 1699.7414459028869, 3101.6245662385327 1699.3371125003853, 3102.109336472788 1698.922289795412, 3102.585151732122 1698.4971986602918, 3103.0517576363077 1698.0620599673482, 3103.5088998051183 1697.6170945889055, 3103.9563238583264 1697.1625233972882, 3104.3937754157046 1696.69856726482, 3104.821016318898 1696.225446196126, 3105.237884353095 1695.7433761336517, 3105.644239508716 1695.2525718320967, 3106.039941778917 1694.7532480460138, 3106.424851156855 1694.2456195299562, 3106.798827635685 1693.7299010384772, 3107.161727308138 1693.2063077878786, 3107.5133732388463 1692.6750589044648, 3107.853571868752 1692.1363754825222, 3108.1821295124214 1691.5904786312979, 3108.4988524844184 1691.037589460039, 3108.8035470993077 1690.4779290779932, 3109.09604127905 1689.9117291532987, 3109.37626998407 1689.339273660608, 3109.6442012590965 1688.7608627418888, 3109.8998031585397 1688.1767965438398, 3110.1430437368094 1687.5873752131592, 3110.373891048316 1686.9928988965457, 3110.592313147469 1686.3936677406975, 3110.7982780886787 1685.7899818923133, 3110.9917525495475 1685.182141359085, 3111.1725483378596 1684.5704305125864, 3111.3401825892806 1683.9551039734172, 3111.4941394207017 1683.3364130285026, 3111.6339029490123 1682.714608964769, 3111.7589572911033 1682.0899430691416, 3111.868786563865 1681.4626666285462, 3111.9629742817297 1680.8330384895341, 3112.0435137016393 1680.2015007703023, 3112.114878557484 1679.568684240363, 3112.181656131297 1678.9352283050696))</t>
  </si>
  <si>
    <t>POLYGON ((3114.5331473555148 1709.9069739694005, 3114.522000664284 1709.9683023796529, 3114.511228032583 1710.0296727826244, 3114.5012035199416 1710.0911271710343, 3114.4923011858887 1710.1527075376016, 3114.484895089955 1710.2144558750456, 3114.4793359238215 1710.2764089458758, 3114.475718716463 1710.3385462899803, 3114.4739808408276 1710.400812160556, 3114.4740573510985 1710.4631502918116, 3114.475883301458 1710.525504417956, 3114.4793937460886 1710.587818273198, 3114.4845237391733 1710.6500355917465, 3114.4912142833027 1710.712101539191, 3114.499449318143 1710.7739716131837, 3114.509231633848 1710.835605847418, 3114.520564101363 1710.8969642950296, 3114.5334495916354 1710.9580070091538, 3114.54789097561 1711.0186940429257, 3114.563891124233 1711.078985449481, 3114.581452908451 1711.1388412819545, 3114.6005791992093 1711.1982215934818, 3114.621272796877 1711.2570864396314, 3114.6435281470235 1711.3153961640166, 3114.667323567591 1711.3731116662761, 3114.6926355372516 1711.4301939094605, 3114.719440534676 1711.4866038566197, 3114.7477150385353 1711.5423024708045, 3114.7774355275014 1711.5972507150652, 3114.8085784802447 1711.651409552452, 3114.8411203754376 1711.7047399460155, 3114.8750376917505 1711.7572028588058, 3114.9103069078556 1711.8087592538734, 3114.946904495359 1711.8593701053298, 3114.984805607692 1711.9089984510356, 3115.023982540918 1711.9576118023826, 3115.06440721712 1712.00517825627, 3115.1060515583804 1712.0516659095974, 3115.1488874867828 1712.0970428592639, 3115.19288692441 1712.1412772021683, 3115.238021793344 1712.1843370352105, 3115.284264015669 1712.2261904552893, 3115.3315855134674 1712.2668055593042, 3115.3799577318046 1712.3061512474223, 3115.4293458009233 1712.3442070535818, 3115.479710379084 1712.3809600422624, 3115.531012029911 1712.4163974373055, 3115.5832113170286 1712.4505064625528, 3115.636268804061 1712.483274341846, 3115.6901450546316 1712.5146882990264, 3115.7448006323652 1712.544735557936, 3115.800196142094 1712.5734031547445, 3115.8562968878855 1712.6006567243915, 3115.9130771499945 1712.6264210225004, 3115.970512219293 1712.65061620214, 3116.0285773866563 1712.6731624163797, 3116.0872479429563 1712.6939798182875, 3116.1464984085565 1712.7129920197733, 3116.2062537560973 1712.730345053533, 3116.2663601886684 1712.746538550474, 3116.326656897818 1712.7621036164696, 3116.429875267716 1712.78569828886, 3116.542714017577 1712.8111266332041, 3116.6555527674377 1712.8365549775483, 3116.768391517299 1712.8619833218922, 3116.88123026716 1712.8874116662364, 3116.9940690170206 1712.9128400105806, 3117.1069077668817 1712.9382683549245, 3117.219746516743 1712.9636966992687, 3117.3325852666035 1712.9891250436128, 3117.4454240164646 1713.0145533879568, 3117.5582627663257 1713.039981732301, 3117.6711015161864 1713.0654100766449, 3117.7839402660475 1713.090838420989, 3117.896779015908 1713.1162667653332, 3118.0096177657692 1713.1416951096771, 3118.1224565156303 1713.1671234540213, 3118.196513534217 1713.1824065990036, 3118.2577034923283 1713.1939078847265, 3118.31903789032 1713.204448867715, 3118.3805989330504 1713.2134822610255, 3118.442425640734 1713.220650234302, 3118.504471506304 1713.2259701763912, 3118.5666799609817 1713.229503618154, 3118.6289944359905 1713.2313120904503, 3118.6913583625524 1713.231457124141, 3118.7537152491886 1713.2299999156633, 3118.816014098598 1713.2269778914304, 3118.8782129621313 1713.2223893297414, 3118.9402707352883 1713.216228856774, 3119.002146313568 1713.2084910987055, 3119.0637985924695 1713.1991706817134, 3119.1251864674914 1713.1882622319756, 3119.1862688341334 1713.1757603756694, 3119.2470045878945 1713.1616597389723, 3119.3073529045737 1713.145957966906, 3119.3672743226916 1713.1286673810087, 3119.4267297942934 1713.1098047565006, 3119.4856802715185 1713.0893868696098, 3119.544086706506 1713.0674304965648, 3119.6019100513945 1713.0439524135932, 3119.659111258324 1713.0189693969235, 3119.7156512794336 1712.9924982227838, 3119.771491066862 1712.964555667402, 3119.8265915807206 1712.935158570393, 3119.8809141886063 1712.9043270113018, 3119.9344208520374 1712.8720857919636, 3119.9870735794584 1712.8384600873278, 3120.0388343793143 1712.8034750723432, 3120.08966526005 1712.7671559219593, 3120.1395282301096 1712.7295278111255, 3120.1883852979386 1712.6906159147907, 3120.236198471981 1712.6504454079045, 3120.2829297606827 1712.6090414654157, 3120.3285411724873 1712.5664292622737, 3120.3729948374566 1712.5226340363972, 3120.4162612772943 1712.4776853706226, 3120.458324692565 1712.4316199302539, 3120.499170542689 1712.384475032391, 3120.538784287089 1712.3362879941328, 3120.577151385185 1712.2870961325787, 3120.614257296399 1712.236936764828, 3120.6500874801523 1712.1858472079803, 3120.684627395866 1712.1338647791342, 3120.717862502961 1712.0810267953898, 3120.7497732788574 1712.0273695267824, 3120.78029817011 1711.9729204097546, 3120.8093545333627 1711.9177024482979, 3120.8368595667653 1711.8617386130938, 3120.862730468469 1711.8050518748244, 3120.8868844366248 1711.7476652041707, 3120.9092386693833 1711.689601571815, 3120.9297607403614 1711.6308953777543, 3120.948705066274 1711.5716461016907, 3120.9664274459533 1711.5119762251622, 3120.983283794723 1711.4520082561378, 3120.9996300279076 1711.3918647025857, 3121.015375266069 1711.3270370258658, 3121.03078238475 1711.258670345305, 3121.0461895034314 1711.1903036647443, 3121.0615966221126 1711.1219369841835, 3121.0770037407938 1711.0535703036228, 3121.092410859475 1710.985203623062, 3121.107817978156 1710.9168369425013, 3121.1232250968374 1710.8484702619405, 3121.138632215519 1710.7801035813795, 3121.1540393342 1710.7117369008188, 3121.1694464528814 1710.643370220258, 3121.1848535715626 1710.5750035396973, 3121.200260690244 1710.5066368591365, 3121.215667808925 1710.4382701785757, 3121.231074927606 1710.3699034980148, 3121.246482046288 1710.301536817454, 3121.259782848285 1710.2366919912074, 3121.2707903041896 1710.1753480197533, 3121.281236671865 1710.1139410497353, 3121.290747892491 1710.0524290821113, 3121.2989499072473 1709.9907701178386, 3121.305469109733 1709.9289222591433, 3121.310051386599 1709.8668703553988, 3121.3127218614814 1709.8046617599693, 3121.313545479247 1709.7423527397439, 3121.312587184761 1709.6799995616113, 3121.30991192289 1709.6176584924613, 3121.3055846385005 1709.5553857991822, 3121.2996699482414 1709.493237669678, 3121.2922085248597 1709.4312645297393, 3121.2832012524373 1709.3695072299943, 3121.2726452593533 1709.3080057172594, 3121.260537673986 1709.2467999383507, 3121.2468756247144 1709.185929840084, 3121.2316562399174 1709.1254353692761, 3121.214876647973 1709.0653564727427, 3121.1965339772605 1709.0057330972998, 3121.1766253561586 1708.9466051897639, 3121.1551497852884 1708.8880126324343, 3121.1321224405315 1708.8299947502167, 3121.107566775643 1708.7725905827638, 3121.081506311292 1708.715839167423, 3121.053964568146 1708.6597795415416, 3121.024965066875 1708.6044507424672, 3120.994531328148 1708.5498918075464, 3120.9626868726327 1708.4961417741265, 3120.9294552209985 1708.4432396795553, 3120.8948598939137 1708.3912245611793, 3120.858924412048 1708.3401354563464, 3120.8216725682482 1708.290010976292, 3120.783130866171 1708.2408854883383, 3120.7433273647316 1708.192790924964, 3120.7022901413084 1708.1457591897438, 3120.6600472732785 1708.0998221862533, 3120.61662683802 1708.0550118180681, 3120.5720569129107 1708.0113599887636, 3120.5263655753283 1707.968898601915, 3120.4795809026505 1707.9276595610977, 3120.431730976571 1707.8876747626189, 3120.382846604871 1707.8489715124024, 3120.332965984025 1707.8115646747447, 3120.282128550194 1707.7754670264706, 3120.230373739537 1707.7406913444056, 3120.1777409882134 1707.7072504053745, 3120.124269732384 1707.6751569862024, 3120.0699994082083 1707.6444238637143, 3120.014969451847 1707.6150638147353, 3119.9592182385713 1707.5870944471908, 3119.9027750942805 1707.5605745782932, 3119.8456647623857 1707.5355838931207, 3119.787911950664 1707.5122022390221, 3119.729541366891 1707.4905094633468, 3119.670577718845 1707.4705854134434, 3119.6110583995437 1707.4524529968687, 3119.551107690863 1707.4357451063065, 3119.4908862862653 1707.4199311950504, 3119.4139234602508 1707.4013123918892, 3119.301078645673 1707.3758826808541, 3119.1882338310947 1707.350452969819, 3119.075389016517 1707.3250232587839, 3118.9625442019387 1707.2995935477486, 3118.849699387361 1707.2741638367136, 3118.736854572783 1707.2487341256783, 3118.624009758205 1707.2233044146433, 3118.511164943627 1707.197874703608, 3118.3983201290494 1707.172444992573, 3118.285475314471 1707.1470152815377, 3118.1726304998933 1707.1215855705027, 3118.059785685315 1707.0961558594674, 3117.9469408707373 1707.0707261484324, 3117.8340960561595 1707.0452964373972, 3117.7212512415813 1707.0198667263621, 3117.6213368559756 1706.99780791626, 3117.5601879673477 1706.9860332920236, 3117.4989359189717 1706.974944600056, 3117.4374981830497 1706.965090586172, 3117.3758017364044 1706.956978294938, 3117.3138582732677 1706.950743075742, 3117.251723967354 1706.9463251255293, 3117.1894553864013 1706.9436629124832, 3117.127109098146 1706.942694904787, 3117.064741670326 1706.943359570624, 3117.002408297539 1706.9456013193833, 3116.94015436733 1706.9494069929956, 3116.8780210017735 1706.9547818889373, 3116.8160493054625 1706.9617313803362, 3116.7542803829874 1706.9702608403197, 3116.6927553389414 1706.9803756420154, 3116.6315152779152 1706.992081158551, 3116.570601304501 1707.005382763054, 3116.5100544950446 1707.0202855245057, 3116.449915025522 1707.0367848166488, 3116.3902220053014 1707.0548645279703, 3116.33101448196 1707.0745078815812, 3116.2723315030753 1707.0956981005936, 3116.2142121162246 1707.1184184081196, 3116.1566953689844 1707.1426520272705, 3116.0998203089325 1707.1683821811582, 3116.043625983646 1707.1955920928947, 3115.988151440702 1707.2242649855918, 3115.9334356170725 1707.2543832030497, 3115.8795167656413 1707.285923650615, 3115.8264328780588 1707.318861156838, 3115.7742219454553 1707.3531705461273, 3115.7229219589603 1707.388826642892, 3115.6725709097036 1707.4258042715396, 3115.6232067888145 1707.4640782564795, 3115.574867587423 1707.50362342212, 3115.527591296659 1707.5444145928695, 3115.4814159076514 1707.5864265931366, 3115.4363794115307 1707.62963424733, 3115.3925176872335 1707.6740112862788, 3115.3498517114713 1707.719523725246, 3115.3083960491285 1707.7661342597978, 3115.2681652401534 1707.813805572589, 3115.229173824494 1707.8625003462741, 3115.191436342098 1707.9121812635085, 3115.154967332913 1707.9628110069468, 3115.1197813368876 1708.014352259244, 3115.085892893969 1708.0667677030553, 3115.053316742643 1708.1200200627584, 3115.022089551885 1708.1740766714577, 3114.9922895013938 1708.2289135858014, 3114.9639993926307 1708.2845078337084, 3114.937302027056 1708.340836443097, 3114.91228020613 1708.3978764418862, 3114.889016731315 1708.4556048579943, 3114.867590289438 1708.5139977858744, 3114.847902519419 1708.57299115404, 3114.829614661441 1708.6324663529897, 3114.812370798109 1708.6923008807714, 3114.7958150120285 1708.7523722354335, 3114.7796427629823 1708.8131029133613, 3114.7642368000156 1708.8814698543638, 3114.748830837049 1708.9498367953663, 3114.7334248740826 1709.0182037363686, 3114.718018911116 1709.0865706773711, 3114.702612948149 1709.1549376183737, 3114.6872069851825 1709.2233045593762, 3114.6718010222157 1709.2916715003787, 3114.656395059249 1709.360038441381, 3114.6409890962823 1709.4284053823835, 3114.6255831333156 1709.496772323386, 3114.610177170349 1709.5651392643883, 3114.594771207382 1709.6335062053909, 3114.5793652444154 1709.7018731463934, 3114.5639592814487 1709.7702400873957, 3114.5485533184824 1709.8386070283982, 3114.5331473555148 1709.9069739694005))</t>
  </si>
  <si>
    <t>Исх.номер</t>
  </si>
  <si>
    <t>Номер</t>
  </si>
  <si>
    <t>0</t>
  </si>
  <si>
    <t>POINT (3096.407325433967 1699.275186362829)</t>
  </si>
  <si>
    <t>POINT (3102.1725357775613 1711.6198426816875)</t>
  </si>
  <si>
    <t>LINESTRING (3096.407325433967 1699.275186362829, 3111.800938273554 1713.0161084235492)</t>
  </si>
  <si>
    <t>41.5 м.кв.</t>
  </si>
  <si>
    <t>POINT (3108.9551269498993 1702.8311075061063)</t>
  </si>
  <si>
    <t>POLYGON ((3105.4447596941113 1698.8074715500784, 3105.49937392133 1699.013719835579, 3105.561159403049 1699.243408466778, 3105.623062160772 1699.470206116574, 3105.6850019082203 1699.694117307247, 3105.746898359109 1699.9151465610778, 3105.808671227154 1700.1332984003461, 3105.870240226078 1700.348577347333, 3105.9315250695927 1700.56098792432, 3105.9924454714196 1700.770534653586, 3106.052921145277 1700.977222057413, 3106.1128718048803 1701.18105465808, 3106.1722171639476 1701.382036977869, 3106.230876936197 1701.580173539061, 3106.288770835346 1701.775468863935, 3106.345818575113 1701.967927474772, 3106.401939869213 1702.1575538938532, 3106.457054431366 1702.344352643459, 3106.51108197529 1702.52832824587, 3106.563942214701 1702.709485223366, 3106.615554863318 1702.887828098228, 3106.665839634858 1703.063361392738, 3106.714716243038 1703.2360896291739, 3106.7621044015773 1703.406017329819, 3106.8079238241917 1703.573149016952, 3106.8520942246 1703.737489212854, 3106.894535316519 1703.899042439806, 3106.9351668136687 1704.0578132200878, 3106.973908429763 1704.2138060759812, 3107.010679878522 1704.367025529765, 3107.045400873662 1704.517476103722, 3107.078051496453 1704.665147161304, 3107.108853298365 1704.809967430662, 3107.1380881984196 1704.951850481119, 3107.1660381156407 1705.090709882, 3107.1929849690478 1705.2264592026252, 3107.2192106776615 1705.35901201232, 3107.244997160506 1705.4882818804072, 3107.270626336602 1705.61418237621, 3107.296380124972 1705.7366270690509, 3107.322540444636 1705.855529528255, 3107.3493892146194 1705.9708033231452, 3107.3772083539397 1706.0823620230428, 3107.406279781621 1706.190119197273, 3107.436885416686 1706.293988415159, 3107.469307178153 1706.393883246023, 3107.503826985047 1706.48971725919, 3107.540726756388 1706.581404023982, 3107.56015722842 1706.6256651786498, 3107.580288411198 1706.668857109722, 3107.601155544599 1706.710969013361, 3107.6227938684997 1706.751990085734, 3107.645238622779 1706.7919095230059, 3107.668525047314 1706.8307165213419, 3107.692688381983 1706.868400276907, 3107.717763866663 1706.904949985868, 3107.7437867412327 1706.940354844389, 3107.770792245569 1706.974604048635, 3107.798815619549 1707.007686794774, 3107.827892103052 1707.0395922789678, 3107.858056935955 1707.070309697385, 3107.889345358135 1707.09982824619, 3107.921792609472 1707.1281371215468, 3107.9554339298406 1707.1552255196218, 3107.990304559121 1707.181082636582, 3108.026439737189 1707.2056976685901, 3108.063874703924 1707.2290598118132, 3108.1026446992028 1707.251158262416, 3108.1427849629026 1707.271982216565, 3108.184330734903 1707.291520870424, 3108.22731725508 1707.30976342016, 3108.2717797633118 1707.326699061937, 3108.317753499477 1707.342316991921, 3108.365273703452 1707.3566064062782, 3108.4143756151147 1707.369556501172, 3108.465094474344 1707.3811564727698, 3108.517465521016 1707.391395517236, 3108.5715239950105 1707.400262830737, 3108.627286676241 1707.407749852768, 3108.6846965047857 1707.413856996152, 3108.743677960752 1707.41858691704, 3108.804155524258 1707.421942271586, 3108.8660536754132 1707.423925715942, 3108.9292968943323 1707.4245399062602, 3108.9938096611263 1707.4237874986939, 3109.059516455909 1707.4216711493962, 3109.126341758794 1707.418193514519, 3109.194210049893 1707.413357250215, 3109.263045809319 1707.407165012637, 3109.332773517185 1707.399619457938, 3109.403317653604 1707.390723242269, 3109.474602698689 1707.380479021786, 3109.5465531325517 1707.3688894526388, 3109.619093435306 1707.3559571909811, 3109.692148087064 1707.341684892965, 3109.76564156794 1707.326075214743, 3109.839498358045 1707.3091308124688, 3109.913642937492 1707.290854342295, 3109.987999786396 1707.271248460372, 3110.062493384867 1707.2503158228562, 3110.1370482130187 1707.2280590858968, 3110.211588750965 1707.2044809056479, 3110.2860394788177 1707.179583938263, 3110.36032487669 1707.153370839893, 3110.434369424695 1707.125844266691, 3110.508097602945 1707.097006874811, 3110.581433891552 1707.066861320405, 3110.654302770631 1707.035410259624, 3110.726628720293 1707.002656348623, 3110.798336220652 1706.9686022435542, 3110.86934975182 1706.933250600568, 3110.93959379391 1706.89660407582, 3111.008992827035 1706.858665325461, 3111.0774713313067 1706.819437005645, 3111.14495378684 1706.7789217725242, 3111.211364673748 1706.73712228225, 3111.2766284721392 1706.694041190976, 3111.340669662131 1706.649681154855, 3111.4034127238347 1706.60404483004, 3111.4647821373633 1706.557134872683, 3111.5247023828288 1706.5089539389357, 3111.583097940345 1706.459504684953, 3111.639893290024 1706.408789766886, 3111.69501291198 1706.356811840888, 3111.748381286324 1706.303573563111, 3111.799922893169 1706.249077589708, 3111.84956221263 1706.193326576832, 3111.8972237248167 1706.136323180636, 3111.942831909844 1706.0780700572711, 3111.9863112478242 1706.018569862891, 3112.027586218871 1705.957825253648, 3112.066581303095 1705.895838885696, 3112.103220980611 1705.8326134151848, 3112.1374297315306 1705.76815149827, 3112.169132035969 1705.702455791103, 3112.1982523740367 1705.635528949837, 3112.2247152258446 1705.5673736306242, 3112.24844507151 1705.497992489616, 3112.2693663911436 1705.427388182967, 3112.2874036648577 1705.3555633668302, 3112.3024813727666 1705.282520697356, 3112.314523994983 1705.208262830698, 3112.3234791517248 1705.132793001196, 3112.3293870236494 1705.0561167559329, 3112.332310931512 1704.978240220179, 3112.3323141960773 1704.899169519206, 3112.329460138103 1704.818910778283, 3112.323812078352 1704.7374701226809, 3112.315433337583 1704.65485367767, 3112.304387236557 1704.571067568519, 3112.290737096035 1704.486117920501, 3112.274546236776 1704.400010858883, 3112.2558779795427 1704.312752508939, 3112.234795645094 1704.224348995936, 3112.211362554192 1704.1348064451458, 3112.185642027596 1704.044130981839, 3112.157697386065 1703.9523287312852, 3112.1275919503605 1703.8594058187539, 3112.095389041245 1703.7653683695182, 3112.061151979478 1703.670222508845, 3112.0249440858192 1703.5739743620072, 3111.9868286810292 1703.476630054274, 3111.94686908587 1703.378195710916, 3111.905128621098 1703.278677457203, 3111.861670607479 1703.178081418405, 3111.816558365771 1703.076413719793, 3111.7698552167326 1702.973680486638, 3111.721624481128 1702.869887844209, 3111.6719294797167 1702.7650419177771, 3111.6208335332562 1702.659148832612, 3111.568399962511 1702.552214713984, 3111.514692088239 1702.444245687164, 3111.459773231202 1702.3352478774218, 3111.40370671216 1702.225227410028, 3111.3465558518737 1702.114190410253, 3111.288383971102 1702.0021430033662, 3111.229254390608 1701.889091314639, 3111.169230431152 1701.7750414693412, 3111.108375413492 1701.659999592743, 3111.046752658391 1701.543971810115, 3110.921457218904 1701.308983027849, 3110.7938506787764 1701.070124124708, 3110.664439604089 1700.8274441028518, 3110.533730560929 1700.5809919644448, 3110.402230115379 1700.330816711648, 3110.2704448335244 1700.076967346625, 3110.1388812814457 1699.8194928715368, 3110.00804602523 1699.558442288546, 3109.87844563096 1699.293864599816, 3109.75058666472 1699.025808807508, 3109.6249756925954 1698.754323913786, 3109.502119280667 1698.47945892081, 3109.382523995022 1698.201262830744, 3109.3041405010167 1698.0109992834878, 3105.4447596941113 1698.8074715500784))</t>
  </si>
  <si>
    <t>17.0 м.п.</t>
  </si>
  <si>
    <t>POINT (3104.0287726776705 1706.0783789373688)</t>
  </si>
  <si>
    <t>LINESTRING (3097.678803422473 1700.4101557896975, 3110.378741932868 1711.7466020850402)</t>
  </si>
  <si>
    <t>4.8 м.п.</t>
  </si>
  <si>
    <t>POINT (3097.720077396069 1708.4442524397011)</t>
  </si>
  <si>
    <t>LINESTRING (3099.2754038714006 1706.814426161843, 3097.4187151780247 1709.300406547605, 3095.7404488753336 1708.9954263670784)</t>
  </si>
  <si>
    <t>7.4 м.кв.</t>
  </si>
  <si>
    <t>POINT (3077.2692859013378 1696.5240583801817)</t>
  </si>
  <si>
    <t>POLYGON ((3075.476517125249 1695.5712872411045, 3075.502063299126 1695.6209421334, 3075.746282594984 1696.107641920006, 3075.965582309878 1696.6051757815592, 3076.141805176297 1697.1023356040341, 3076.222407955254 1697.3390281078382, 3076.3058730441107 1697.559655065344, 3076.398104202838 1697.758109465734, 3076.5050051914 1697.928284298187, 3076.6324797697666 1698.0640725518829, 3076.786431697904 1698.1593672160018, 3076.970962022641 1698.2093001808082, 3077.180066688064 1698.21594799263, 3077.4042228154512 1698.183805482379, 3077.6339039437294 1698.117369942908, 3077.8595836118266 1698.02113866707, 3078.071735358675 1697.899608947718, 3078.260832723202 1697.7572780777068, 3078.4173693785083 1697.598637896209, 3078.535570359136 1697.4271695403381, 3078.617736395512 1697.244166709033, 3078.66722326714 1697.050637323432, 3078.687386753524 1696.847589304671, 3078.6815826341667 1696.636030573884, 3078.653166688575 1696.416969052209, 3078.6054946962486 1696.191412660781, 3078.541922436695 1695.960369320738, 3078.3805002339195 1695.485853479346, 3078.1957463162794 1695.0014848971232, 3078.1375067822983 1694.848095209911, 3075.476517125249 1695.5712872411045))</t>
  </si>
  <si>
    <t>30.7 м.кв.</t>
  </si>
  <si>
    <t>POINT (3106.318033152636 1694.3315514072856)</t>
  </si>
  <si>
    <t>POLYGON ((3109.3041405010167 1698.0109992834878, 3109.266592882548 1697.919858372106, 3109.154314913353 1697.6356631788321, 3109.045575538352 1697.349168611217, 3108.9402602084583 1697.060866029555, 3108.838254374585 1696.7712467941378, 3108.739443487648 1696.48080226526, 3108.643712998559 1696.1900238032142, 3108.550948358232 1695.899402768294, 3108.4610350175817 1695.6094305207932, 3108.373858427522 1695.320598421005, 3108.289304038966 1695.0333978292222, 3108.2072573028277 1694.7483201057391, 3108.1276036700206 1694.465856610848, 3108.0502285914586 1694.186498704844, 3107.975017518058 1693.910737748019, 3107.901855900728 1693.639065100666, 3107.866007841502 1693.5049154431329, 3107.830629190386 1693.3719721230812, 3107.795705628745 1693.240296560542, 3107.761222837944 1693.109950175555, 3107.727166499345 1692.9809943881548, 3107.6935222943157 1692.853490618381, 3107.660275904218 1692.7275002862689, 3107.627413010416 1692.603084811854, 3107.594919294275 1692.4803056151748, 3107.562780437159 1692.3592241162671, 3107.530982120431 1692.2399017351681, 3107.499510025456 1692.122399891914, 3107.4683498335994 1692.0067800065412, 3107.4374872262233 1691.893103499087, 3107.4069078846946 1691.781431789588, 3107.376597490374 1691.67182629808, 3107.346541724629 1691.5643484446, 3107.316726268822 1691.4590596491862, 3107.2871368043184 1691.356021331874, 3107.257759012481 1691.255294912699, 3107.2285785746753 1691.156941811701, 3107.1995811722636 1691.061023448913, 3107.1707524866133 1690.967601244375, 3107.142078199087 1690.8767366181198, 3107.1135439910463 1690.788490990188, 3107.08513554386 1690.7029257806141, 3107.056838538889 1690.620102409436, 3107.0286386575 1690.5400822966892, 3107.000521581055 1690.46292686241, 3106.97247299092 1690.3886975266369, 3106.944478568458 1690.3174557094062, 3106.916523995033 1690.249262830753, 3106.9165239950316 1690.249262830753, 3106.888597331648 1690.1841602602842, 3106.8606961578553 1690.122109165884, 3106.832820432846 1690.063050665007, 3106.804970115809 1690.006925875105, 3106.777145165937 1689.953675913633, 3106.7493455424183 1689.903241898043, 3106.721571204446 1689.85556494579, 3106.6938221112073 1689.810586174327, 3106.666098221894 1689.7682467011082, 3106.638399495698 1689.728487643585, 3106.610725891809 1689.691250119214, 3106.583077369416 1689.6564752454458, 3106.555453887712 1689.6241041397361, 3106.527855405885 1689.594077919537, 3106.5002818831267 1689.566337702304,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3105.021431201551 1689.841996696506, 3104.9695888688125 1689.858773291082, 3104.867475533467 1689.889368738801, 3104.7681220777886 1689.9185537368412, 3104.719729594636 1689.93356726932, 3104.6723262291716 1689.949368131885, 3104.6260116973217 1689.966336305372, 3104.580885715011 1689.9848517706162, 3104.537047998161 1690.0052945084522, 3104.4945982626973 1690.028044499715, 3104.453636224544 1690.053481725241, 3104.4142615996257 1690.081986165865, 3104.3765741038674 1690.1139378024218, 3104.340673453191 1690.149716615748, 3104.306659363523 1690.1897025866779, 3104.290390940293 1690.211392000255, 3104.2746315507866 1690.234275696046, 3104.259393659494 1690.2584011716558, 3104.244689730906 1690.283815924689, 3104.230532229513 1690.310567452749, 3104.2169336198053 1690.3387032534408, 3104.2039063662737 1690.368270824369, 3104.1914629334087 1690.3993176631382, 3104.179615785701 1690.431891267352, 3104.168377387641 1690.466039134616, 3104.1577602037187 1690.5018087625328, 3104.147776698426 1690.539247648709, 3104.138439336252 1690.578403290747, 3104.129760581689 1690.6193231862521, 3104.1217528992242 1690.662054832829, 3104.1144287533507 1690.706645728081, 3104.10780060856 1690.753143369614, 3104.1018809293396 1690.801595255032, 3104.0966821801817 1690.852048881939, 3104.092216825578 1690.9045517479392, 3104.0884973300176 1690.9591513506368, 3104.08553615799 1691.0158951876379, 3104.083345773987 1691.074830756545, 3104.0819386425 1691.136005554963, 3104.081327228019 1691.1994670804972, 3104.081523995033 1691.265262830751, 3104.082537478949 1691.333424290735, 3104.0843604988427 1691.403918895074, 3104.086981944699 1691.476698065801, 3104.0903907065117 1691.551713224949, 3104.0945756742653 1691.628915794549, 3104.09952573795 1691.708257196633, 3104.1052297875567 1691.789688853233, 3104.111676713072 1691.8731621863822, 3104.118855404486 1691.958628618109, 3104.126754751789 1692.046039570449, 3104.135363644969 1692.135346465433, 3104.144670974015 1692.226500725092, 3104.1546656289142 1692.319453771459, 3104.165336499657 1692.4141570265658, 3104.176672476234 1692.5105619124438, 3104.188662448633 1692.6086198511262, 3104.201295306842 1692.708282264643, 3104.214559940851 1692.809500575027, 3104.228445240649 1692.9122262043109, 3104.242940096225 1693.0164105745262, 3104.258033397568 1693.122005107704, 3104.2737140346667 1693.228961225878, 3104.289970897513 1693.3372303510778, 3104.306792876089 1693.4467639053369, 3104.324168860391 1693.557513310687, 3104.342087740404 1693.669429989161, 3104.3795097475218 1693.896570853603, 3104.418970017358 1694.127797874921, 3104.460379669821 1694.362722429368, 3104.503649824826 1694.600955893202, 3104.548691602283 1694.842109642677, 3104.5954161221052 1695.0857950540492, 3104.643734504204 1695.331623503573, 3104.693557868493 1695.579206367504, 3104.7447973348826 1695.8281550221, 3104.7973640232867 1696.078080843613, 3104.8511690536156 1696.3285952083029, 3104.9621386196995 1696.829835072225, 3105.019125395279 1697.079783323971, 3105.076994992433 1697.328765623912, 3105.135658531072 1697.5763933483051, 3105.1950271311107 1697.8222778734062, 3105.2550119124603 1698.06603057547, 3105.315523995031 1698.307262830753, 3105.376475931039 1698.545651539847, 3105.4377860019 1698.781135700695, 3105.4447596941113 1698.8074715500784, 3109.3041405010167 1698.0109992834878))</t>
  </si>
  <si>
    <t>15_1</t>
  </si>
  <si>
    <t>1.7 м.п.</t>
  </si>
  <si>
    <t>POINT (3097.0430644282196 1699.8426710762633)</t>
  </si>
  <si>
    <t>LINESTRING (3096.407325433967 1699.275186362829, 3097.678803422473 1700.4101557896975)</t>
  </si>
  <si>
    <t>15_2</t>
  </si>
  <si>
    <t>1.9 м.п.</t>
  </si>
  <si>
    <t>POINT (3111.089840103211 1712.3813552542947)</t>
  </si>
  <si>
    <t>LINESTRING (3110.378741932868 1711.7466020850402, 3111.800938273554 1713.0161084235492)</t>
  </si>
  <si>
    <t>1.4 м.п.</t>
  </si>
  <si>
    <t>POINT (3095.0381677845044 1708.8678054921804)</t>
  </si>
  <si>
    <t>LINESTRING (3095.7404488753336 1708.9954263670784, 3094.335886693676 1708.740184617282)</t>
  </si>
  <si>
    <t>5.4 м.кв.</t>
  </si>
  <si>
    <t>POINT (3105.6999056644995 1688.4282462055264)</t>
  </si>
  <si>
    <t>POLYGON ((3104.0799123014176 1687.7975826715715, 3104.0952286390448 1687.8281062967772, 3104.314528353938 1688.32564015833, 3104.490751220359 1688.822799980805, 3104.571353999314 1689.059492484609, 3104.654819088171 1689.280119442116, 3104.747050246898 1689.4785738425062, 3104.85395123546 1689.648748674958, 3104.9814258138267 1689.7845369286538, 3105.055182736527 1689.83019170713,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3106.4966015613422 1689.562929311654, 3106.609778767264 1689.4777424544782, 3106.766315422568 1689.31910227298, 3106.884516403197 1689.147633917109, 3106.9666824395727 1688.964631085805, 3107.0161693112013 1688.7711017002039, 3107.0363327975842 1688.568053681442, 3107.030528678227 1688.356494950656, 3107.002112732635 1688.13743342898, 3106.95444074031 1687.911877037553, 3106.890868480756 1687.680833697509, 3106.729446277981 1687.206317856118, 3106.684927490287 1687.089603134433, 3104.0799123014176 1687.7975826715715))</t>
  </si>
  <si>
    <t>13.4 м.кв.</t>
  </si>
  <si>
    <t>POINT (3099.0814776530838 1694.8699633831652)</t>
  </si>
  <si>
    <t>POLYGON ((3100.532213657918 1697.306927260158, 3100.6887503132234 1697.14828707866, 3100.806951293852 1696.976818722789, 3100.889117330228 1696.7938158914849, 3100.938604201856 1696.600286505884, 3100.9587676882393 1696.397238487122, 3100.9529635688814 1696.185679756336, 3100.924547623289 1695.96661823466, 3100.876875630965 1695.741061843233, 3100.8133033714116 1695.510018503189, 3100.651881168635 1695.035502661798, 3100.467127250995 1694.551134079575, 3100.282926134187 1694.065990230376, 3100.096546007764 1693.598262123466, 3099.997296765145 1693.3781162556108, 3099.8911867952665 1693.170957798077, 3099.776100142384 1692.979668215806, 3099.649920850755 1692.8071289737359, 3099.510532964635 1692.6562215368122, 3099.3558205282843 1692.5298273699718, 3099.183667585956 1692.430827938158, 3098.991958181908 1692.3621047063111, 3098.7794984939082 1692.3260432082832, 3098.551618186938 1692.321520592129, 3098.316460422456 1692.3459008840412, 3098.0821794327708 1692.3965421562218, 3097.8569294501817 1692.4708024808772, 3097.6488647069928 1692.566039930207, 3097.466139435506 1692.679612576418, 3097.316907868026 1692.808878491711, 3097.207395223952 1692.951512940749, 3097.1361106710747 1693.106459958035, 3097.099634364286 1693.2729807705289, 3097.0945464584747 1693.450336605192, 3097.1174271085274 1693.637788688983, 3097.1648564693346 1693.834598248865, 3097.233414695788 1694.040026511797, 3097.3196819427726 1694.2533347047422, 3097.5316641179043 1694.7006357885089, 3097.773444233841 1695.170591315853, 3098.0176635297 1695.657291102457, 3098.236963244593 1696.15482496401, 3098.4131861110136 1696.651984786485, 3098.493788889969 1696.888677290289, 3098.5772539788263 1697.109304247796, 3098.6694851375532 1697.307758648187, 3098.776386126115 1697.477933480638, 3098.9038607044818 1697.6137217343341, 3098.977617627182 1697.65937651281, 3098.996099247087 1697.652912352684, 3099.048623508188 1697.632770667421, 3099.101339159586 1697.6103764655631, 3099.154163159088 1697.585491606475, 3099.2070791594397 1697.5584453103272, 3099.313188468587 1697.499752648339, 3099.526525462005 1697.3771567360009, 3099.580094609621 1697.348170070841, 3099.6337583698937 1697.3207904515962, 3099.687517069299 1697.295488938635, 3099.741371034312 1697.2727365923308, 3099.795320591411 1697.2530044730552, 3099.849366067072 1697.2367636411789, 3099.9035077877693 1697.224485157074, 3099.9577460799796 1697.216640081113, 3099.984901542426 1697.214527277552, 3100.0120812701803 1697.213699473666, 3100.039285304049 1697.214215552001, 3100.066513684846 1697.216134395105, 3100.093766453377 1697.2195148855249, 3100.121043650454 1697.224415905804, 3100.148345316885 1697.230896338491, 3100.1756714934804 1697.239015066131, 3100.203022221047 1697.248830971272, 3100.2303975403993 1697.26040293646, 3100.2577974923406 1697.2737898442401, 3100.285222117689 1697.2890505771609, 3100.312671457246 1697.306244017767, 3100.3401455518238 1697.3254290486059, 3100.367644442234 1697.3466645522242, 3100.395168169283 1697.370009411168, 3100.4190364519973 1697.392114117334, 3100.532213657918 1697.306927260158))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</si>
</sst>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Fill="1"/>
    <xf numFmtId="0" fontId="0" fillId="0" borderId="0" xfId="0" applyFill="1" applyAlignment="1">
      <alignment horizontal="left" vertical="center"/>
    </xf>
    <xf numFmtId="0" fontId="0" fillId="0" borderId="0" xfId="0" applyNumberFormat="1" applyFill="1" applyAlignment="1">
      <alignment horizontal="left" vertical="center"/>
    </xf>
    <xf numFmtId="0" fontId="0" fillId="0" borderId="0" xfId="0" applyAlignment="1"/>
    <xf numFmtId="0" fontId="0" fillId="0" borderId="0" xfId="0" quotePrefix="1" applyAlignment="1"/>
    <xf numFmtId="49" fontId="0" fillId="0" borderId="0" xfId="0" applyNumberFormat="1" applyAlignment="1"/>
    <xf numFmtId="49" fontId="0" fillId="0" borderId="0" xfId="0" quotePrefix="1" applyNumberFormat="1" applyAlignment="1"/>
    <xf numFmtId="49" fontId="0" fillId="0" borderId="0" xfId="0" applyNumberFormat="1"/>
    <xf numFmtId="49" fontId="0" fillId="0" borderId="0" xfId="0" applyNumberFormat="1" applyBorder="1"/>
    <xf numFmtId="49" fontId="0" fillId="0" borderId="0" xfId="0" quotePrefix="1" applyNumberFormat="1" applyFill="1" applyBorder="1" applyAlignment="1">
      <alignment horizontal="left" vertical="center"/>
    </xf>
    <xf numFmtId="49" fontId="0" fillId="0" borderId="0" xfId="0" applyNumberFormat="1" applyFill="1" applyBorder="1" applyAlignment="1">
      <alignment horizontal="left" vertical="center"/>
    </xf>
    <xf numFmtId="0" fontId="0" fillId="0" borderId="0" xfId="0" applyAlignment="1">
      <alignment horizontal="left" vertical="center"/>
    </xf>
    <xf numFmtId="0" fontId="0" fillId="0" borderId="0" xfId="0" applyNumberFormat="1" applyFill="1" applyBorder="1"/>
  </cellXfs>
  <cellStyles count="1">
    <cellStyle name="Обычный" xfId="0" builtinId="0"/>
  </cellStyles>
  <dxfs count="11">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dxf>
    <dxf>
      <numFmt numFmtId="30" formatCode="@"/>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CD270-A62B-43B1-8938-CF3CC9C5A939}" name="Таблица1" displayName="Таблица1" ref="A1:I27" totalsRowShown="0" headerRowDxfId="10" dataDxfId="9">
  <autoFilter ref="A1:I27" xr:uid="{B9FCD270-A62B-43B1-8938-CF3CC9C5A939}"/>
  <tableColumns count="9">
    <tableColumn id="1" xr3:uid="{37BD1952-0F71-48F4-9E8E-43C0DBFD883B}" name="Индекс" dataDxfId="8"/>
    <tableColumn id="2" xr3:uid="{50FF0A5D-5C9E-4448-AA20-688B27C6405F}" name="Номер точки" dataDxfId="7"/>
    <tableColumn id="3" xr3:uid="{D66D671B-2B81-4B53-8940-39C32F7A5C06}" name="Наименование" dataDxfId="6"/>
    <tableColumn id="4" xr3:uid="{66785945-271E-4F01-8772-76DFE9CEF464}" name="Количество" dataDxfId="5"/>
    <tableColumn id="5" xr3:uid="{3D9E9085-6DF7-4F2B-820F-EC4F0C70985F}" name="Высота" dataDxfId="4"/>
    <tableColumn id="6" xr3:uid="{3BF1A40E-17B7-4C88-99AD-D2F3FC75CCF0}" name="Толщина" dataDxfId="3"/>
    <tableColumn id="7" xr3:uid="{34F28C75-E4C4-4126-A0E6-C5D0F36C3951}" name="Состояние" dataDxfId="2"/>
    <tableColumn id="8" xr3:uid="{49A18B83-153E-41DE-9901-31EAA511415F}" name="Кустарник" dataDxfId="1">
      <calculatedColumnFormula>get_is_shrub(Таблица1[[#This Row],[Наименование]])</calculatedColumnFormula>
    </tableColumn>
    <tableColumn id="9" xr3:uid="{56AD1B3A-37A5-46E3-944A-1C5604436A8E}" name="Валидация" dataDxfId="0">
      <calculatedColumnFormula>check_ambiguity(Таблица1[[#This Row],[Номер точки]],Таблица1[[#This Row],[Количество]],Таблица1[[#This Row],[Высота]],Таблица1[[#This Row],[Толщина]],Таблица1[[#This Row],[Кустарник]])</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J15" sqref="J15"/>
    </sheetView>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tabColor rgb="FFFFC000"/>
  </sheetPr>
  <dimension ref="A1:L27"/>
  <sheetViews>
    <sheetView workbookViewId="0">
      <selection activeCell="C25" sqref="C25"/>
    </sheetView>
  </sheetViews>
  <sheetFormatPr defaultRowHeight="15.75" x14ac:dyDescent="0.25"/>
  <cols>
    <col min="1" max="1" width="9.125" style="10" customWidth="1"/>
    <col min="2" max="2" width="14.125" style="10" customWidth="1"/>
    <col min="3" max="3" width="20.625" style="10" customWidth="1"/>
    <col min="4" max="4" width="12.875" style="10" customWidth="1"/>
    <col min="5" max="5" width="18.875" style="10" customWidth="1"/>
    <col min="6" max="6" width="14" style="10" customWidth="1"/>
    <col min="7" max="7" width="18.5" style="10" customWidth="1"/>
    <col min="8" max="8" width="12" customWidth="1"/>
    <col min="9" max="9" width="18.375" customWidth="1"/>
    <col min="11" max="11" width="22" customWidth="1"/>
  </cols>
  <sheetData>
    <row r="1" spans="1:12" x14ac:dyDescent="0.25">
      <c r="A1" s="11" t="s">
        <v>63</v>
      </c>
      <c r="B1" s="11" t="s">
        <v>15</v>
      </c>
      <c r="C1" s="11" t="s">
        <v>16</v>
      </c>
      <c r="D1" s="11" t="s">
        <v>17</v>
      </c>
      <c r="E1" s="11" t="s">
        <v>18</v>
      </c>
      <c r="F1" s="11" t="s">
        <v>19</v>
      </c>
      <c r="G1" s="11" t="s">
        <v>20</v>
      </c>
      <c r="H1" t="s">
        <v>62</v>
      </c>
      <c r="I1" t="s">
        <v>102</v>
      </c>
    </row>
    <row r="2" spans="1:12" s="3" customFormat="1" x14ac:dyDescent="0.25">
      <c r="A2" s="15">
        <v>1</v>
      </c>
      <c r="B2" s="12" t="s">
        <v>64</v>
      </c>
      <c r="C2" s="13" t="s">
        <v>30</v>
      </c>
      <c r="D2" s="13" t="s">
        <v>31</v>
      </c>
      <c r="E2" s="13" t="s">
        <v>64</v>
      </c>
      <c r="F2" s="13" t="s">
        <v>93</v>
      </c>
      <c r="G2" s="13" t="s">
        <v>21</v>
      </c>
      <c r="H2" s="4">
        <f>get_is_shrub(Таблица1[[#This Row],[Наименование]])</f>
        <v>0</v>
      </c>
      <c r="I2" s="4">
        <f>check_ambiguity(Таблица1[[#This Row],[Номер точки]],Таблица1[[#This Row],[Количество]],Таблица1[[#This Row],[Высота]],Таблица1[[#This Row],[Толщина]],Таблица1[[#This Row],[Кустарник]])</f>
        <v>0</v>
      </c>
      <c r="J2" s="4"/>
      <c r="K2" s="5"/>
      <c r="L2" s="5"/>
    </row>
    <row r="3" spans="1:12" s="3" customFormat="1" x14ac:dyDescent="0.25">
      <c r="A3" s="15">
        <v>2</v>
      </c>
      <c r="B3" s="12" t="s">
        <v>35</v>
      </c>
      <c r="C3" s="13" t="s">
        <v>32</v>
      </c>
      <c r="D3" s="13" t="s">
        <v>31</v>
      </c>
      <c r="E3" s="13" t="s">
        <v>94</v>
      </c>
      <c r="F3" s="13" t="s">
        <v>95</v>
      </c>
      <c r="G3" s="13" t="s">
        <v>21</v>
      </c>
      <c r="H3" s="4">
        <f>get_is_shrub(Таблица1[[#This Row],[Наименование]])</f>
        <v>0</v>
      </c>
      <c r="I3" s="4">
        <f>check_ambiguity(Таблица1[[#This Row],[Номер точки]],Таблица1[[#This Row],[Количество]],Таблица1[[#This Row],[Высота]],Таблица1[[#This Row],[Толщина]],Таблица1[[#This Row],[Кустарник]])</f>
        <v>0</v>
      </c>
      <c r="J3" s="4"/>
      <c r="K3" s="5"/>
      <c r="L3" s="5"/>
    </row>
    <row r="4" spans="1:12" s="3" customFormat="1" x14ac:dyDescent="0.25">
      <c r="A4" s="15">
        <v>3</v>
      </c>
      <c r="B4" s="12" t="s">
        <v>33</v>
      </c>
      <c r="C4" s="13" t="s">
        <v>34</v>
      </c>
      <c r="D4" s="13" t="s">
        <v>35</v>
      </c>
      <c r="E4" s="13" t="s">
        <v>103</v>
      </c>
      <c r="F4" s="13" t="s">
        <v>104</v>
      </c>
      <c r="G4" s="13" t="s">
        <v>21</v>
      </c>
      <c r="H4" s="4">
        <f>get_is_shrub(Таблица1[[#This Row],[Наименование]])</f>
        <v>0</v>
      </c>
      <c r="I4" s="4">
        <f>check_ambiguity(Таблица1[[#This Row],[Номер точки]],Таблица1[[#This Row],[Количество]],Таблица1[[#This Row],[Высота]],Таблица1[[#This Row],[Толщина]],Таблица1[[#This Row],[Кустарник]])</f>
        <v>0</v>
      </c>
      <c r="J4" s="4"/>
      <c r="K4" s="5"/>
      <c r="L4" s="5"/>
    </row>
    <row r="5" spans="1:12" s="3" customFormat="1" x14ac:dyDescent="0.25">
      <c r="A5" s="15">
        <v>4</v>
      </c>
      <c r="B5" s="12" t="s">
        <v>66</v>
      </c>
      <c r="C5" s="13" t="s">
        <v>30</v>
      </c>
      <c r="D5" s="13" t="s">
        <v>27</v>
      </c>
      <c r="E5" s="13" t="s">
        <v>36</v>
      </c>
      <c r="F5" s="13" t="s">
        <v>90</v>
      </c>
      <c r="G5" s="13" t="s">
        <v>21</v>
      </c>
      <c r="H5" s="4">
        <f>get_is_shrub(Таблица1[[#This Row],[Наименование]])</f>
        <v>0</v>
      </c>
      <c r="I5" s="4">
        <f>check_ambiguity(Таблица1[[#This Row],[Номер точки]],Таблица1[[#This Row],[Количество]],Таблица1[[#This Row],[Высота]],Таблица1[[#This Row],[Толщина]],Таблица1[[#This Row],[Кустарник]])</f>
        <v>0</v>
      </c>
      <c r="J5" s="4"/>
      <c r="K5" s="5"/>
      <c r="L5" s="5"/>
    </row>
    <row r="6" spans="1:12" x14ac:dyDescent="0.25">
      <c r="A6" s="15">
        <v>5</v>
      </c>
      <c r="B6" s="12" t="s">
        <v>68</v>
      </c>
      <c r="C6" s="13" t="s">
        <v>38</v>
      </c>
      <c r="D6" s="13" t="s">
        <v>39</v>
      </c>
      <c r="E6" s="13" t="s">
        <v>60</v>
      </c>
      <c r="F6" s="13" t="s">
        <v>61</v>
      </c>
      <c r="G6" s="13" t="s">
        <v>21</v>
      </c>
      <c r="H6" s="4">
        <f>get_is_shrub(Таблица1[[#This Row],[Наименование]])</f>
        <v>0</v>
      </c>
      <c r="I6" s="4">
        <f>check_ambiguity(Таблица1[[#This Row],[Номер точки]],Таблица1[[#This Row],[Количество]],Таблица1[[#This Row],[Высота]],Таблица1[[#This Row],[Толщина]],Таблица1[[#This Row],[Кустарник]])</f>
        <v>0</v>
      </c>
      <c r="J6" s="4"/>
      <c r="K6" s="5"/>
      <c r="L6" s="5"/>
    </row>
    <row r="7" spans="1:12" x14ac:dyDescent="0.25">
      <c r="A7" s="15">
        <v>6</v>
      </c>
      <c r="B7" s="12" t="s">
        <v>69</v>
      </c>
      <c r="C7" s="13" t="s">
        <v>30</v>
      </c>
      <c r="D7" s="13" t="s">
        <v>64</v>
      </c>
      <c r="E7" s="13" t="s">
        <v>94</v>
      </c>
      <c r="F7" s="13" t="s">
        <v>105</v>
      </c>
      <c r="G7" s="13" t="s">
        <v>21</v>
      </c>
      <c r="H7" s="4">
        <f>get_is_shrub(Таблица1[[#This Row],[Наименование]])</f>
        <v>0</v>
      </c>
      <c r="I7" s="4">
        <f>check_ambiguity(Таблица1[[#This Row],[Номер точки]],Таблица1[[#This Row],[Количество]],Таблица1[[#This Row],[Высота]],Таблица1[[#This Row],[Толщина]],Таблица1[[#This Row],[Кустарник]])</f>
        <v>0</v>
      </c>
      <c r="J7" s="4"/>
      <c r="K7" s="5"/>
      <c r="L7" s="5"/>
    </row>
    <row r="8" spans="1:12" x14ac:dyDescent="0.25">
      <c r="A8" s="15">
        <v>7</v>
      </c>
      <c r="B8" s="12" t="s">
        <v>70</v>
      </c>
      <c r="C8" s="13" t="s">
        <v>30</v>
      </c>
      <c r="D8" s="13" t="s">
        <v>40</v>
      </c>
      <c r="E8" s="13" t="s">
        <v>96</v>
      </c>
      <c r="F8" s="13" t="s">
        <v>105</v>
      </c>
      <c r="G8" s="13" t="s">
        <v>21</v>
      </c>
      <c r="H8" s="4">
        <f>get_is_shrub(Таблица1[[#This Row],[Наименование]])</f>
        <v>0</v>
      </c>
      <c r="I8" s="4">
        <f>check_ambiguity(Таблица1[[#This Row],[Номер точки]],Таблица1[[#This Row],[Количество]],Таблица1[[#This Row],[Высота]],Таблица1[[#This Row],[Толщина]],Таблица1[[#This Row],[Кустарник]])</f>
        <v>0</v>
      </c>
      <c r="J8" s="4"/>
      <c r="K8" s="5"/>
      <c r="L8" s="5"/>
    </row>
    <row r="9" spans="1:12" x14ac:dyDescent="0.25">
      <c r="A9" s="15">
        <v>8</v>
      </c>
      <c r="B9" s="12" t="s">
        <v>71</v>
      </c>
      <c r="C9" s="13" t="s">
        <v>32</v>
      </c>
      <c r="D9" s="13" t="s">
        <v>40</v>
      </c>
      <c r="E9" s="13" t="s">
        <v>35</v>
      </c>
      <c r="F9" s="13" t="s">
        <v>97</v>
      </c>
      <c r="G9" s="13" t="s">
        <v>21</v>
      </c>
      <c r="H9" s="4">
        <f>get_is_shrub(Таблица1[[#This Row],[Наименование]])</f>
        <v>0</v>
      </c>
      <c r="I9" s="4">
        <f>check_ambiguity(Таблица1[[#This Row],[Номер точки]],Таблица1[[#This Row],[Количество]],Таблица1[[#This Row],[Высота]],Таблица1[[#This Row],[Толщина]],Таблица1[[#This Row],[Кустарник]])</f>
        <v>0</v>
      </c>
      <c r="J9" s="4"/>
      <c r="K9" s="5"/>
      <c r="L9" s="5"/>
    </row>
    <row r="10" spans="1:12" x14ac:dyDescent="0.25">
      <c r="A10" s="15">
        <v>9</v>
      </c>
      <c r="B10" s="12" t="s">
        <v>72</v>
      </c>
      <c r="C10" s="13" t="s">
        <v>41</v>
      </c>
      <c r="D10" s="13" t="s">
        <v>23</v>
      </c>
      <c r="E10" s="13" t="s">
        <v>44</v>
      </c>
      <c r="F10" s="13" t="s">
        <v>59</v>
      </c>
      <c r="G10" s="13" t="s">
        <v>21</v>
      </c>
      <c r="H10" s="4">
        <f>get_is_shrub(Таблица1[[#This Row],[Наименование]])</f>
        <v>0</v>
      </c>
      <c r="I10" s="4">
        <f>check_ambiguity(Таблица1[[#This Row],[Номер точки]],Таблица1[[#This Row],[Количество]],Таблица1[[#This Row],[Высота]],Таблица1[[#This Row],[Толщина]],Таблица1[[#This Row],[Кустарник]])</f>
        <v>0</v>
      </c>
      <c r="J10" s="4"/>
      <c r="K10" s="5"/>
      <c r="L10" s="5"/>
    </row>
    <row r="11" spans="1:12" x14ac:dyDescent="0.25">
      <c r="A11" s="15">
        <v>10</v>
      </c>
      <c r="B11" s="12" t="s">
        <v>73</v>
      </c>
      <c r="C11" s="13" t="s">
        <v>41</v>
      </c>
      <c r="D11" s="13" t="s">
        <v>65</v>
      </c>
      <c r="E11" s="13" t="s">
        <v>42</v>
      </c>
      <c r="F11" s="13" t="s">
        <v>43</v>
      </c>
      <c r="G11" s="13" t="s">
        <v>21</v>
      </c>
      <c r="H11" s="4">
        <f>get_is_shrub(Таблица1[[#This Row],[Наименование]])</f>
        <v>0</v>
      </c>
      <c r="I11" s="4">
        <f>check_ambiguity(Таблица1[[#This Row],[Номер точки]],Таблица1[[#This Row],[Количество]],Таблица1[[#This Row],[Высота]],Таблица1[[#This Row],[Толщина]],Таблица1[[#This Row],[Кустарник]])</f>
        <v>0</v>
      </c>
      <c r="J11" s="4"/>
      <c r="K11" s="5"/>
      <c r="L11" s="5"/>
    </row>
    <row r="12" spans="1:12" x14ac:dyDescent="0.25">
      <c r="A12" s="15">
        <v>11</v>
      </c>
      <c r="B12" s="12" t="s">
        <v>74</v>
      </c>
      <c r="C12" s="13" t="s">
        <v>41</v>
      </c>
      <c r="D12" s="13" t="s">
        <v>67</v>
      </c>
      <c r="E12" s="13" t="s">
        <v>57</v>
      </c>
      <c r="F12" s="13" t="s">
        <v>58</v>
      </c>
      <c r="G12" s="13" t="s">
        <v>21</v>
      </c>
      <c r="H12" s="4">
        <f>get_is_shrub(Таблица1[[#This Row],[Наименование]])</f>
        <v>0</v>
      </c>
      <c r="I12" s="5">
        <f>check_ambiguity(Таблица1[[#This Row],[Номер точки]],Таблица1[[#This Row],[Количество]],Таблица1[[#This Row],[Высота]],Таблица1[[#This Row],[Толщина]],Таблица1[[#This Row],[Кустарник]])</f>
        <v>0</v>
      </c>
      <c r="J12" s="5"/>
      <c r="K12" s="5"/>
      <c r="L12" s="5"/>
    </row>
    <row r="13" spans="1:12" x14ac:dyDescent="0.25">
      <c r="A13" s="15">
        <v>12</v>
      </c>
      <c r="B13" s="12" t="s">
        <v>75</v>
      </c>
      <c r="C13" s="13" t="s">
        <v>41</v>
      </c>
      <c r="D13" s="13" t="s">
        <v>23</v>
      </c>
      <c r="E13" s="13" t="s">
        <v>44</v>
      </c>
      <c r="F13" s="13" t="s">
        <v>59</v>
      </c>
      <c r="G13" s="13" t="s">
        <v>28</v>
      </c>
      <c r="H13" s="4">
        <f>get_is_shrub(Таблица1[[#This Row],[Наименование]])</f>
        <v>0</v>
      </c>
      <c r="I13" s="4">
        <f>check_ambiguity(Таблица1[[#This Row],[Номер точки]],Таблица1[[#This Row],[Количество]],Таблица1[[#This Row],[Высота]],Таблица1[[#This Row],[Толщина]],Таблица1[[#This Row],[Кустарник]])</f>
        <v>0</v>
      </c>
      <c r="J13" s="4"/>
      <c r="K13" s="5"/>
      <c r="L13" s="5"/>
    </row>
    <row r="14" spans="1:12" x14ac:dyDescent="0.25">
      <c r="A14" s="15">
        <v>13</v>
      </c>
      <c r="B14" s="12" t="s">
        <v>76</v>
      </c>
      <c r="C14" s="13" t="s">
        <v>41</v>
      </c>
      <c r="D14" s="13" t="s">
        <v>35</v>
      </c>
      <c r="E14" s="13" t="s">
        <v>44</v>
      </c>
      <c r="F14" s="13" t="s">
        <v>89</v>
      </c>
      <c r="G14" s="13" t="s">
        <v>21</v>
      </c>
      <c r="H14" s="4">
        <f>get_is_shrub(Таблица1[[#This Row],[Наименование]])</f>
        <v>0</v>
      </c>
      <c r="I14" s="4">
        <f>check_ambiguity(Таблица1[[#This Row],[Номер точки]],Таблица1[[#This Row],[Количество]],Таблица1[[#This Row],[Высота]],Таблица1[[#This Row],[Толщина]],Таблица1[[#This Row],[Кустарник]])</f>
        <v>0</v>
      </c>
      <c r="J14" s="4"/>
      <c r="K14" s="5"/>
      <c r="L14" s="5"/>
    </row>
    <row r="15" spans="1:12" x14ac:dyDescent="0.25">
      <c r="A15" s="15">
        <v>14</v>
      </c>
      <c r="B15" s="12" t="s">
        <v>77</v>
      </c>
      <c r="C15" s="13" t="s">
        <v>29</v>
      </c>
      <c r="D15" s="13" t="s">
        <v>45</v>
      </c>
      <c r="E15" s="13" t="s">
        <v>35</v>
      </c>
      <c r="F15" s="13" t="s">
        <v>101</v>
      </c>
      <c r="G15" s="13" t="s">
        <v>21</v>
      </c>
      <c r="H15" s="4">
        <f>get_is_shrub(Таблица1[[#This Row],[Наименование]])</f>
        <v>0</v>
      </c>
      <c r="I15" s="4">
        <f>check_ambiguity(Таблица1[[#This Row],[Номер точки]],Таблица1[[#This Row],[Количество]],Таблица1[[#This Row],[Высота]],Таблица1[[#This Row],[Толщина]],Таблица1[[#This Row],[Кустарник]])</f>
        <v>0</v>
      </c>
      <c r="J15" s="4"/>
      <c r="K15" s="5"/>
      <c r="L15" s="5"/>
    </row>
    <row r="16" spans="1:12" x14ac:dyDescent="0.25">
      <c r="A16" s="15">
        <v>15</v>
      </c>
      <c r="B16" s="12" t="s">
        <v>37</v>
      </c>
      <c r="C16" s="13" t="s">
        <v>29</v>
      </c>
      <c r="D16" s="13" t="s">
        <v>46</v>
      </c>
      <c r="E16" s="13" t="s">
        <v>67</v>
      </c>
      <c r="F16" s="13" t="s">
        <v>98</v>
      </c>
      <c r="G16" s="13" t="s">
        <v>21</v>
      </c>
      <c r="H16" s="4">
        <f>get_is_shrub(Таблица1[[#This Row],[Наименование]])</f>
        <v>0</v>
      </c>
      <c r="I16" s="4">
        <f>check_ambiguity(Таблица1[[#This Row],[Номер точки]],Таблица1[[#This Row],[Количество]],Таблица1[[#This Row],[Высота]],Таблица1[[#This Row],[Толщина]],Таблица1[[#This Row],[Кустарник]])</f>
        <v>0</v>
      </c>
      <c r="J16" s="4"/>
      <c r="K16" s="5"/>
      <c r="L16" s="5"/>
    </row>
    <row r="17" spans="1:12" x14ac:dyDescent="0.25">
      <c r="A17" s="15">
        <v>16</v>
      </c>
      <c r="B17" s="12" t="s">
        <v>78</v>
      </c>
      <c r="C17" s="13" t="s">
        <v>24</v>
      </c>
      <c r="D17" s="13" t="s">
        <v>47</v>
      </c>
      <c r="E17" s="13" t="s">
        <v>99</v>
      </c>
      <c r="F17" s="13" t="s">
        <v>22</v>
      </c>
      <c r="G17" s="13" t="s">
        <v>21</v>
      </c>
      <c r="H17" s="4">
        <f>get_is_shrub(Таблица1[[#This Row],[Наименование]])</f>
        <v>1</v>
      </c>
      <c r="I17" s="4">
        <f>check_ambiguity(Таблица1[[#This Row],[Номер точки]],Таблица1[[#This Row],[Количество]],Таблица1[[#This Row],[Высота]],Таблица1[[#This Row],[Толщина]],Таблица1[[#This Row],[Кустарник]])</f>
        <v>0</v>
      </c>
      <c r="J17" s="4"/>
      <c r="K17" s="5"/>
      <c r="L17" s="5"/>
    </row>
    <row r="18" spans="1:12" x14ac:dyDescent="0.25">
      <c r="A18" s="15">
        <v>17</v>
      </c>
      <c r="B18" s="12" t="s">
        <v>79</v>
      </c>
      <c r="C18" s="13" t="s">
        <v>24</v>
      </c>
      <c r="D18" s="13" t="s">
        <v>64</v>
      </c>
      <c r="E18" s="13" t="s">
        <v>99</v>
      </c>
      <c r="F18" s="13" t="s">
        <v>22</v>
      </c>
      <c r="G18" s="13" t="s">
        <v>21</v>
      </c>
      <c r="H18" s="4">
        <f>get_is_shrub(Таблица1[[#This Row],[Наименование]])</f>
        <v>1</v>
      </c>
      <c r="I18" s="4">
        <f>check_ambiguity(Таблица1[[#This Row],[Номер точки]],Таблица1[[#This Row],[Количество]],Таблица1[[#This Row],[Высота]],Таблица1[[#This Row],[Толщина]],Таблица1[[#This Row],[Кустарник]])</f>
        <v>0</v>
      </c>
      <c r="J18" s="4"/>
      <c r="K18" s="5"/>
      <c r="L18" s="5"/>
    </row>
    <row r="19" spans="1:12" x14ac:dyDescent="0.25">
      <c r="A19" s="15">
        <v>18</v>
      </c>
      <c r="B19" s="12" t="s">
        <v>48</v>
      </c>
      <c r="C19" s="13" t="s">
        <v>49</v>
      </c>
      <c r="D19" s="13" t="s">
        <v>67</v>
      </c>
      <c r="E19" s="13" t="s">
        <v>91</v>
      </c>
      <c r="F19" s="13" t="s">
        <v>151</v>
      </c>
      <c r="G19" s="13" t="s">
        <v>106</v>
      </c>
      <c r="H19" s="4">
        <f>get_is_shrub(Таблица1[[#This Row],[Наименование]])</f>
        <v>0</v>
      </c>
      <c r="I19" s="4">
        <f>check_ambiguity(Таблица1[[#This Row],[Номер точки]],Таблица1[[#This Row],[Количество]],Таблица1[[#This Row],[Высота]],Таблица1[[#This Row],[Толщина]],Таблица1[[#This Row],[Кустарник]])</f>
        <v>0</v>
      </c>
      <c r="J19" s="4"/>
      <c r="K19" s="5"/>
      <c r="L19" s="5"/>
    </row>
    <row r="20" spans="1:12" x14ac:dyDescent="0.25">
      <c r="A20" s="15">
        <v>19</v>
      </c>
      <c r="B20" s="12" t="s">
        <v>50</v>
      </c>
      <c r="C20" s="13" t="s">
        <v>49</v>
      </c>
      <c r="D20" s="13" t="s">
        <v>64</v>
      </c>
      <c r="E20" s="13" t="s">
        <v>91</v>
      </c>
      <c r="F20" s="13" t="s">
        <v>92</v>
      </c>
      <c r="G20" s="13" t="s">
        <v>21</v>
      </c>
      <c r="H20" s="4">
        <f>get_is_shrub(Таблица1[[#This Row],[Наименование]])</f>
        <v>0</v>
      </c>
      <c r="I20" s="4">
        <f>check_ambiguity(Таблица1[[#This Row],[Номер точки]],Таблица1[[#This Row],[Количество]],Таблица1[[#This Row],[Высота]],Таблица1[[#This Row],[Толщина]],Таблица1[[#This Row],[Кустарник]])</f>
        <v>0</v>
      </c>
      <c r="J20" s="4"/>
      <c r="K20" s="5"/>
      <c r="L20" s="5"/>
    </row>
    <row r="21" spans="1:12" x14ac:dyDescent="0.25">
      <c r="A21" s="15">
        <v>20</v>
      </c>
      <c r="B21" s="12" t="s">
        <v>51</v>
      </c>
      <c r="C21" s="13" t="s">
        <v>34</v>
      </c>
      <c r="D21" s="13" t="s">
        <v>65</v>
      </c>
      <c r="E21" s="13" t="s">
        <v>26</v>
      </c>
      <c r="F21" s="13" t="s">
        <v>52</v>
      </c>
      <c r="G21" s="13" t="s">
        <v>21</v>
      </c>
      <c r="H21" s="4">
        <f>get_is_shrub(Таблица1[[#This Row],[Наименование]])</f>
        <v>0</v>
      </c>
      <c r="I21" s="4">
        <f>check_ambiguity(Таблица1[[#This Row],[Номер точки]],Таблица1[[#This Row],[Количество]],Таблица1[[#This Row],[Высота]],Таблица1[[#This Row],[Толщина]],Таблица1[[#This Row],[Кустарник]])</f>
        <v>0</v>
      </c>
      <c r="J21" s="4"/>
      <c r="K21" s="5"/>
      <c r="L21" s="5"/>
    </row>
    <row r="22" spans="1:12" x14ac:dyDescent="0.25">
      <c r="A22" s="15">
        <v>21</v>
      </c>
      <c r="B22" s="12" t="s">
        <v>53</v>
      </c>
      <c r="C22" s="13" t="s">
        <v>49</v>
      </c>
      <c r="D22" s="13" t="s">
        <v>35</v>
      </c>
      <c r="E22" s="13" t="s">
        <v>91</v>
      </c>
      <c r="F22" s="13" t="s">
        <v>92</v>
      </c>
      <c r="G22" s="13" t="s">
        <v>21</v>
      </c>
      <c r="H22" s="4">
        <f>get_is_shrub(Таблица1[[#This Row],[Наименование]])</f>
        <v>0</v>
      </c>
      <c r="I22" s="4">
        <f>check_ambiguity(Таблица1[[#This Row],[Номер точки]],Таблица1[[#This Row],[Количество]],Таблица1[[#This Row],[Высота]],Таблица1[[#This Row],[Толщина]],Таблица1[[#This Row],[Кустарник]])</f>
        <v>0</v>
      </c>
      <c r="J22" s="4"/>
      <c r="K22" s="5"/>
      <c r="L22" s="5"/>
    </row>
    <row r="23" spans="1:12" x14ac:dyDescent="0.25">
      <c r="A23" s="15">
        <v>22</v>
      </c>
      <c r="B23" s="12" t="s">
        <v>86</v>
      </c>
      <c r="C23" s="13" t="s">
        <v>49</v>
      </c>
      <c r="D23" s="13" t="s">
        <v>67</v>
      </c>
      <c r="E23" s="13" t="s">
        <v>91</v>
      </c>
      <c r="F23" s="13" t="s">
        <v>92</v>
      </c>
      <c r="G23" s="13" t="s">
        <v>21</v>
      </c>
      <c r="H23" s="4">
        <f>get_is_shrub(Таблица1[[#This Row],[Наименование]])</f>
        <v>0</v>
      </c>
      <c r="I23" s="4">
        <f>check_ambiguity(Таблица1[[#This Row],[Номер точки]],Таблица1[[#This Row],[Количество]],Таблица1[[#This Row],[Высота]],Таблица1[[#This Row],[Толщина]],Таблица1[[#This Row],[Кустарник]])</f>
        <v>0</v>
      </c>
      <c r="J23" s="4"/>
      <c r="K23" s="5"/>
      <c r="L23" s="5"/>
    </row>
    <row r="24" spans="1:12" x14ac:dyDescent="0.25">
      <c r="A24" s="15">
        <v>23</v>
      </c>
      <c r="B24" s="12" t="s">
        <v>54</v>
      </c>
      <c r="C24" s="13" t="s">
        <v>49</v>
      </c>
      <c r="D24" s="13" t="s">
        <v>25</v>
      </c>
      <c r="E24" s="13" t="s">
        <v>57</v>
      </c>
      <c r="F24" s="13" t="s">
        <v>58</v>
      </c>
      <c r="G24" s="13" t="s">
        <v>21</v>
      </c>
      <c r="H24" s="4">
        <f>get_is_shrub(Таблица1[[#This Row],[Наименование]])</f>
        <v>0</v>
      </c>
      <c r="I24" s="4">
        <f>check_ambiguity(Таблица1[[#This Row],[Номер точки]],Таблица1[[#This Row],[Количество]],Таблица1[[#This Row],[Высота]],Таблица1[[#This Row],[Толщина]],Таблица1[[#This Row],[Кустарник]])</f>
        <v>0</v>
      </c>
      <c r="J24" s="4"/>
      <c r="K24" s="5"/>
      <c r="L24" s="5"/>
    </row>
    <row r="25" spans="1:12" x14ac:dyDescent="0.25">
      <c r="A25" s="15">
        <v>24</v>
      </c>
      <c r="B25" s="12" t="s">
        <v>88</v>
      </c>
      <c r="C25" s="13" t="s">
        <v>49</v>
      </c>
      <c r="D25" s="13" t="s">
        <v>25</v>
      </c>
      <c r="E25" s="13" t="s">
        <v>57</v>
      </c>
      <c r="F25" s="13" t="s">
        <v>58</v>
      </c>
      <c r="G25" s="13" t="s">
        <v>21</v>
      </c>
      <c r="H25" s="4">
        <f>get_is_shrub(Таблица1[[#This Row],[Наименование]])</f>
        <v>0</v>
      </c>
      <c r="I25" s="4">
        <f>check_ambiguity(Таблица1[[#This Row],[Номер точки]],Таблица1[[#This Row],[Количество]],Таблица1[[#This Row],[Высота]],Таблица1[[#This Row],[Толщина]],Таблица1[[#This Row],[Кустарник]])</f>
        <v>0</v>
      </c>
      <c r="J25" s="4"/>
      <c r="K25" s="5"/>
      <c r="L25" s="5"/>
    </row>
    <row r="26" spans="1:12" x14ac:dyDescent="0.25">
      <c r="A26" s="15">
        <v>25</v>
      </c>
      <c r="B26" s="10" t="s">
        <v>55</v>
      </c>
      <c r="C26" s="10" t="s">
        <v>49</v>
      </c>
      <c r="D26" s="10" t="s">
        <v>35</v>
      </c>
      <c r="E26" s="10" t="s">
        <v>91</v>
      </c>
      <c r="F26" s="10" t="s">
        <v>92</v>
      </c>
      <c r="G26" s="10" t="s">
        <v>21</v>
      </c>
      <c r="H26" s="4">
        <f>get_is_shrub(Таблица1[[#This Row],[Наименование]])</f>
        <v>0</v>
      </c>
      <c r="I26" s="14">
        <f>check_ambiguity(Таблица1[[#This Row],[Номер точки]],Таблица1[[#This Row],[Количество]],Таблица1[[#This Row],[Высота]],Таблица1[[#This Row],[Толщина]],Таблица1[[#This Row],[Кустарник]])</f>
        <v>0</v>
      </c>
      <c r="J26" s="14"/>
      <c r="L26" s="5"/>
    </row>
    <row r="27" spans="1:12" x14ac:dyDescent="0.25">
      <c r="A27" s="15">
        <v>26</v>
      </c>
      <c r="B27" s="10" t="s">
        <v>87</v>
      </c>
      <c r="C27" s="10" t="s">
        <v>49</v>
      </c>
      <c r="D27" s="10" t="s">
        <v>56</v>
      </c>
      <c r="E27" s="10" t="s">
        <v>96</v>
      </c>
      <c r="F27" s="10" t="s">
        <v>100</v>
      </c>
      <c r="G27" s="10" t="s">
        <v>21</v>
      </c>
      <c r="H27">
        <f>get_is_shrub(Таблица1[[#This Row],[Наименование]])</f>
        <v>0</v>
      </c>
      <c r="I27">
        <f>check_ambiguity(Таблица1[[#This Row],[Номер точки]],Таблица1[[#This Row],[Количество]],Таблица1[[#This Row],[Высота]],Таблица1[[#This Row],[Толщина]],Таблица1[[#This Row],[Кустарник]])</f>
        <v>0</v>
      </c>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tabColor rgb="FFFFC000"/>
  </sheetPr>
  <dimension ref="A1:F37"/>
  <sheetViews>
    <sheetView workbookViewId="0">
      <selection activeCell="G19" sqref="G19"/>
    </sheetView>
  </sheetViews>
  <sheetFormatPr defaultRowHeight="15.75" x14ac:dyDescent="0.25"/>
  <cols>
    <col min="1" max="1" width="7.25" style="8" customWidth="1"/>
    <col min="2" max="2" width="12.375" style="8" customWidth="1"/>
    <col min="3" max="3" width="7.625" style="8" customWidth="1"/>
    <col min="4" max="4" width="17.25" style="8" customWidth="1"/>
    <col min="5" max="5" width="12.25" style="6" customWidth="1"/>
    <col min="6" max="6" width="12.375" style="6" customWidth="1"/>
    <col min="7" max="7" width="10.375" style="6" customWidth="1"/>
    <col min="8" max="16384" width="9" style="6"/>
  </cols>
  <sheetData>
    <row r="1" spans="1:6" ht="18" customHeight="1" x14ac:dyDescent="0.25">
      <c r="A1" s="8" t="s">
        <v>63</v>
      </c>
      <c r="B1" s="8" t="s">
        <v>15</v>
      </c>
      <c r="C1" s="8" t="s">
        <v>107</v>
      </c>
      <c r="D1" s="8" t="s">
        <v>108</v>
      </c>
      <c r="E1" s="6" t="s">
        <v>109</v>
      </c>
      <c r="F1" s="6" t="s">
        <v>110</v>
      </c>
    </row>
    <row r="2" spans="1:6" x14ac:dyDescent="0.25">
      <c r="A2" s="9">
        <v>0</v>
      </c>
      <c r="B2" s="9" t="s">
        <v>67</v>
      </c>
      <c r="C2" s="9" t="s">
        <v>67</v>
      </c>
      <c r="D2" s="9" t="s">
        <v>111</v>
      </c>
      <c r="E2" s="6" t="s">
        <v>111</v>
      </c>
    </row>
    <row r="3" spans="1:6" x14ac:dyDescent="0.25">
      <c r="A3" s="9">
        <v>1</v>
      </c>
      <c r="B3" s="9" t="s">
        <v>65</v>
      </c>
      <c r="C3" s="9" t="s">
        <v>65</v>
      </c>
      <c r="D3" s="9" t="s">
        <v>112</v>
      </c>
      <c r="E3" s="6" t="s">
        <v>112</v>
      </c>
    </row>
    <row r="4" spans="1:6" x14ac:dyDescent="0.25">
      <c r="A4" s="9">
        <v>2</v>
      </c>
      <c r="B4" s="9" t="s">
        <v>66</v>
      </c>
      <c r="C4" s="9" t="s">
        <v>66</v>
      </c>
      <c r="D4" s="9" t="s">
        <v>113</v>
      </c>
      <c r="E4" s="7" t="s">
        <v>113</v>
      </c>
    </row>
    <row r="5" spans="1:6" x14ac:dyDescent="0.25">
      <c r="A5" s="9">
        <v>3</v>
      </c>
      <c r="B5" s="9" t="s">
        <v>68</v>
      </c>
      <c r="C5" s="9" t="s">
        <v>68</v>
      </c>
      <c r="D5" s="9" t="s">
        <v>114</v>
      </c>
      <c r="E5" s="7" t="s">
        <v>114</v>
      </c>
    </row>
    <row r="6" spans="1:6" x14ac:dyDescent="0.25">
      <c r="A6" s="9">
        <v>4</v>
      </c>
      <c r="B6" s="9" t="s">
        <v>69</v>
      </c>
      <c r="C6" s="9" t="s">
        <v>69</v>
      </c>
      <c r="D6" s="9" t="s">
        <v>115</v>
      </c>
      <c r="E6" s="7" t="s">
        <v>115</v>
      </c>
    </row>
    <row r="7" spans="1:6" x14ac:dyDescent="0.25">
      <c r="A7" s="9">
        <v>5</v>
      </c>
      <c r="B7" s="9" t="s">
        <v>72</v>
      </c>
      <c r="C7" s="9" t="s">
        <v>72</v>
      </c>
      <c r="D7" s="9" t="s">
        <v>116</v>
      </c>
      <c r="E7" s="7" t="s">
        <v>116</v>
      </c>
    </row>
    <row r="8" spans="1:6" x14ac:dyDescent="0.25">
      <c r="A8" s="9">
        <v>6</v>
      </c>
      <c r="B8" s="9" t="s">
        <v>73</v>
      </c>
      <c r="C8" s="9" t="s">
        <v>73</v>
      </c>
      <c r="D8" s="9" t="s">
        <v>117</v>
      </c>
      <c r="E8" s="7" t="s">
        <v>117</v>
      </c>
    </row>
    <row r="9" spans="1:6" x14ac:dyDescent="0.25">
      <c r="A9" s="9">
        <v>7</v>
      </c>
      <c r="B9" s="9" t="s">
        <v>74</v>
      </c>
      <c r="C9" s="9" t="s">
        <v>74</v>
      </c>
      <c r="D9" s="9" t="s">
        <v>118</v>
      </c>
      <c r="E9" s="7" t="s">
        <v>118</v>
      </c>
    </row>
    <row r="10" spans="1:6" x14ac:dyDescent="0.25">
      <c r="A10" s="9">
        <v>8</v>
      </c>
      <c r="B10" s="9" t="s">
        <v>76</v>
      </c>
      <c r="C10" s="9" t="s">
        <v>76</v>
      </c>
      <c r="D10" s="9" t="s">
        <v>119</v>
      </c>
      <c r="E10" s="7" t="s">
        <v>119</v>
      </c>
    </row>
    <row r="11" spans="1:6" x14ac:dyDescent="0.25">
      <c r="A11" s="9">
        <v>9</v>
      </c>
      <c r="B11" s="9" t="s">
        <v>75</v>
      </c>
      <c r="C11" s="9" t="s">
        <v>75</v>
      </c>
      <c r="D11" s="9" t="s">
        <v>120</v>
      </c>
      <c r="E11" s="7" t="s">
        <v>120</v>
      </c>
    </row>
    <row r="12" spans="1:6" x14ac:dyDescent="0.25">
      <c r="A12" s="9">
        <v>10</v>
      </c>
      <c r="B12" s="9" t="s">
        <v>79</v>
      </c>
      <c r="C12" s="9" t="s">
        <v>79</v>
      </c>
      <c r="D12" s="9" t="s">
        <v>121</v>
      </c>
      <c r="E12" s="7" t="s">
        <v>121</v>
      </c>
    </row>
    <row r="13" spans="1:6" x14ac:dyDescent="0.25">
      <c r="A13" s="9">
        <v>11</v>
      </c>
      <c r="B13" s="9" t="s">
        <v>122</v>
      </c>
      <c r="C13" s="9" t="s">
        <v>123</v>
      </c>
      <c r="D13" s="9" t="s">
        <v>124</v>
      </c>
      <c r="E13" s="7" t="s">
        <v>124</v>
      </c>
    </row>
    <row r="14" spans="1:6" x14ac:dyDescent="0.25">
      <c r="A14" s="9">
        <v>12</v>
      </c>
      <c r="B14" s="9" t="s">
        <v>122</v>
      </c>
      <c r="C14" s="9" t="s">
        <v>125</v>
      </c>
      <c r="D14" s="9" t="s">
        <v>124</v>
      </c>
      <c r="E14" s="7" t="s">
        <v>124</v>
      </c>
    </row>
    <row r="15" spans="1:6" x14ac:dyDescent="0.25">
      <c r="A15" s="9">
        <v>13</v>
      </c>
      <c r="B15" s="9" t="s">
        <v>122</v>
      </c>
      <c r="C15" s="9" t="s">
        <v>126</v>
      </c>
      <c r="D15" s="9" t="s">
        <v>124</v>
      </c>
      <c r="E15" s="7" t="s">
        <v>124</v>
      </c>
    </row>
    <row r="16" spans="1:6" x14ac:dyDescent="0.25">
      <c r="A16" s="9">
        <v>14</v>
      </c>
      <c r="B16" s="9" t="s">
        <v>122</v>
      </c>
      <c r="C16" s="9" t="s">
        <v>127</v>
      </c>
      <c r="D16" s="9" t="s">
        <v>124</v>
      </c>
      <c r="E16" s="7" t="s">
        <v>124</v>
      </c>
    </row>
    <row r="17" spans="1:6" x14ac:dyDescent="0.25">
      <c r="A17" s="9">
        <v>15</v>
      </c>
      <c r="B17" s="9" t="s">
        <v>80</v>
      </c>
      <c r="C17" s="9" t="s">
        <v>80</v>
      </c>
      <c r="D17" s="9" t="s">
        <v>128</v>
      </c>
      <c r="E17" s="7" t="s">
        <v>128</v>
      </c>
    </row>
    <row r="18" spans="1:6" x14ac:dyDescent="0.25">
      <c r="A18" s="9">
        <v>16</v>
      </c>
      <c r="B18" s="9" t="s">
        <v>81</v>
      </c>
      <c r="C18" s="9" t="s">
        <v>81</v>
      </c>
      <c r="D18" s="9" t="s">
        <v>129</v>
      </c>
      <c r="E18" s="7" t="s">
        <v>129</v>
      </c>
    </row>
    <row r="19" spans="1:6" x14ac:dyDescent="0.25">
      <c r="A19" s="9">
        <v>17</v>
      </c>
      <c r="B19" s="9" t="s">
        <v>82</v>
      </c>
      <c r="C19" s="9" t="s">
        <v>82</v>
      </c>
      <c r="D19" s="9" t="s">
        <v>130</v>
      </c>
      <c r="E19" s="7" t="s">
        <v>130</v>
      </c>
    </row>
    <row r="20" spans="1:6" x14ac:dyDescent="0.25">
      <c r="A20" s="9">
        <v>18</v>
      </c>
      <c r="B20" s="9" t="s">
        <v>83</v>
      </c>
      <c r="C20" s="9" t="s">
        <v>83</v>
      </c>
      <c r="D20" s="9" t="s">
        <v>131</v>
      </c>
      <c r="E20" s="7" t="s">
        <v>131</v>
      </c>
    </row>
    <row r="21" spans="1:6" x14ac:dyDescent="0.25">
      <c r="A21" s="9">
        <v>19</v>
      </c>
      <c r="B21" s="9" t="s">
        <v>53</v>
      </c>
      <c r="C21" s="9" t="s">
        <v>84</v>
      </c>
      <c r="D21" s="9" t="s">
        <v>166</v>
      </c>
      <c r="E21" s="7" t="s">
        <v>166</v>
      </c>
    </row>
    <row r="22" spans="1:6" x14ac:dyDescent="0.25">
      <c r="A22" s="9">
        <v>20</v>
      </c>
      <c r="B22" s="9" t="s">
        <v>53</v>
      </c>
      <c r="C22" s="9" t="s">
        <v>85</v>
      </c>
      <c r="D22" s="9" t="s">
        <v>166</v>
      </c>
      <c r="E22" s="7" t="s">
        <v>166</v>
      </c>
    </row>
    <row r="23" spans="1:6" x14ac:dyDescent="0.25">
      <c r="A23" s="9">
        <v>21</v>
      </c>
      <c r="B23" s="9" t="s">
        <v>132</v>
      </c>
      <c r="C23" s="9" t="s">
        <v>86</v>
      </c>
      <c r="D23" s="9" t="s">
        <v>133</v>
      </c>
      <c r="E23" s="7" t="s">
        <v>133</v>
      </c>
    </row>
    <row r="24" spans="1:6" x14ac:dyDescent="0.25">
      <c r="A24" s="9">
        <v>22</v>
      </c>
      <c r="B24" s="9" t="s">
        <v>132</v>
      </c>
      <c r="C24" s="9" t="s">
        <v>54</v>
      </c>
      <c r="D24" s="9" t="s">
        <v>133</v>
      </c>
      <c r="E24" s="7" t="s">
        <v>133</v>
      </c>
    </row>
    <row r="25" spans="1:6" x14ac:dyDescent="0.25">
      <c r="A25" s="9">
        <v>23</v>
      </c>
      <c r="B25" s="9" t="s">
        <v>134</v>
      </c>
      <c r="C25" s="9" t="s">
        <v>88</v>
      </c>
      <c r="D25" s="9" t="s">
        <v>135</v>
      </c>
      <c r="E25" s="7" t="s">
        <v>135</v>
      </c>
    </row>
    <row r="26" spans="1:6" x14ac:dyDescent="0.25">
      <c r="A26" s="9">
        <v>24</v>
      </c>
      <c r="B26" s="9" t="s">
        <v>134</v>
      </c>
      <c r="C26" s="9" t="s">
        <v>136</v>
      </c>
      <c r="D26" s="9" t="s">
        <v>135</v>
      </c>
      <c r="E26" s="7" t="s">
        <v>135</v>
      </c>
    </row>
    <row r="27" spans="1:6" x14ac:dyDescent="0.25">
      <c r="A27" s="9">
        <v>25</v>
      </c>
      <c r="B27" s="9" t="s">
        <v>134</v>
      </c>
      <c r="C27" s="9" t="s">
        <v>137</v>
      </c>
      <c r="D27" s="9" t="s">
        <v>135</v>
      </c>
      <c r="E27" s="7" t="s">
        <v>135</v>
      </c>
    </row>
    <row r="28" spans="1:6" x14ac:dyDescent="0.25">
      <c r="A28" s="9">
        <v>26</v>
      </c>
      <c r="B28" s="9" t="s">
        <v>70</v>
      </c>
      <c r="C28" s="9" t="s">
        <v>70</v>
      </c>
      <c r="D28" s="9" t="s">
        <v>138</v>
      </c>
      <c r="E28" s="7" t="s">
        <v>139</v>
      </c>
      <c r="F28" s="6">
        <v>72.187968681300262</v>
      </c>
    </row>
    <row r="29" spans="1:6" x14ac:dyDescent="0.25">
      <c r="A29" s="9">
        <v>27</v>
      </c>
      <c r="B29" s="9" t="s">
        <v>71</v>
      </c>
      <c r="C29" s="9" t="s">
        <v>71</v>
      </c>
      <c r="D29" s="9" t="s">
        <v>140</v>
      </c>
      <c r="E29" s="7" t="s">
        <v>139</v>
      </c>
      <c r="F29" s="6">
        <v>72.187968681300262</v>
      </c>
    </row>
    <row r="30" spans="1:6" x14ac:dyDescent="0.25">
      <c r="A30" s="9">
        <v>28</v>
      </c>
      <c r="B30" s="9" t="s">
        <v>64</v>
      </c>
      <c r="C30" s="9" t="s">
        <v>64</v>
      </c>
      <c r="D30" s="9" t="s">
        <v>141</v>
      </c>
      <c r="E30" s="7" t="s">
        <v>142</v>
      </c>
      <c r="F30" s="6">
        <v>13.829652249662766</v>
      </c>
    </row>
    <row r="31" spans="1:6" x14ac:dyDescent="0.25">
      <c r="A31" s="9">
        <v>29</v>
      </c>
      <c r="B31" s="9" t="s">
        <v>35</v>
      </c>
      <c r="C31" s="9" t="s">
        <v>35</v>
      </c>
      <c r="D31" s="9" t="s">
        <v>143</v>
      </c>
      <c r="E31" s="7" t="s">
        <v>142</v>
      </c>
      <c r="F31" s="6">
        <v>13.829652249662766</v>
      </c>
    </row>
    <row r="32" spans="1:6" x14ac:dyDescent="0.25">
      <c r="A32" s="9">
        <v>30</v>
      </c>
      <c r="B32" s="9" t="s">
        <v>77</v>
      </c>
      <c r="C32" s="9" t="s">
        <v>77</v>
      </c>
      <c r="D32" s="9" t="s">
        <v>165</v>
      </c>
      <c r="E32" s="7" t="s">
        <v>167</v>
      </c>
      <c r="F32" s="6">
        <v>20.634346496409641</v>
      </c>
    </row>
    <row r="33" spans="1:6" x14ac:dyDescent="0.25">
      <c r="A33" s="9">
        <v>31</v>
      </c>
      <c r="B33" s="9" t="s">
        <v>37</v>
      </c>
      <c r="C33" s="9" t="s">
        <v>37</v>
      </c>
      <c r="D33" s="9" t="s">
        <v>144</v>
      </c>
      <c r="E33" s="7" t="s">
        <v>145</v>
      </c>
      <c r="F33" s="6">
        <v>6.2361215361950615</v>
      </c>
    </row>
    <row r="34" spans="1:6" x14ac:dyDescent="0.25">
      <c r="A34" s="9">
        <v>32</v>
      </c>
      <c r="B34" s="9" t="s">
        <v>78</v>
      </c>
      <c r="C34" s="9" t="s">
        <v>78</v>
      </c>
      <c r="D34" s="9" t="s">
        <v>146</v>
      </c>
      <c r="E34" s="7" t="s">
        <v>147</v>
      </c>
      <c r="F34" s="6">
        <v>13.404293070651994</v>
      </c>
    </row>
    <row r="35" spans="1:6" x14ac:dyDescent="0.25">
      <c r="A35" s="9">
        <v>33</v>
      </c>
      <c r="B35" s="9" t="s">
        <v>87</v>
      </c>
      <c r="C35" s="9" t="s">
        <v>87</v>
      </c>
      <c r="D35" s="9" t="s">
        <v>148</v>
      </c>
      <c r="E35" s="7" t="s">
        <v>149</v>
      </c>
      <c r="F35" s="6">
        <v>13.404293070651969</v>
      </c>
    </row>
    <row r="36" spans="1:6" x14ac:dyDescent="0.25">
      <c r="A36" s="9"/>
      <c r="B36" s="9"/>
      <c r="C36" s="9"/>
      <c r="D36" s="9"/>
      <c r="E36" s="7"/>
    </row>
    <row r="37" spans="1:6" x14ac:dyDescent="0.25">
      <c r="A37" s="9"/>
      <c r="B37" s="9"/>
      <c r="C37" s="9"/>
      <c r="D37" s="9"/>
      <c r="E37"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3B419-A78E-472C-ACED-05593BCAAFD2}">
  <sheetPr codeName="Лист7">
    <tabColor rgb="FFFFC000"/>
  </sheetPr>
  <dimension ref="A1:J35"/>
  <sheetViews>
    <sheetView workbookViewId="0">
      <selection activeCell="C4" sqref="C4"/>
    </sheetView>
  </sheetViews>
  <sheetFormatPr defaultRowHeight="15.75" x14ac:dyDescent="0.25"/>
  <cols>
    <col min="1" max="2" width="9" style="10"/>
    <col min="3" max="3" width="22.5" customWidth="1"/>
    <col min="4" max="5" width="9" style="10"/>
    <col min="6" max="6" width="17.75" style="10" customWidth="1"/>
    <col min="7" max="7" width="12.75" customWidth="1"/>
    <col min="9" max="9" width="60.375" customWidth="1"/>
  </cols>
  <sheetData>
    <row r="1" spans="1:10" x14ac:dyDescent="0.25">
      <c r="A1" s="10" t="s">
        <v>63</v>
      </c>
      <c r="B1" s="10" t="s">
        <v>15</v>
      </c>
      <c r="C1" t="s">
        <v>16</v>
      </c>
      <c r="D1" s="10" t="s">
        <v>17</v>
      </c>
      <c r="E1" s="10" t="s">
        <v>18</v>
      </c>
      <c r="F1" s="10" t="s">
        <v>19</v>
      </c>
      <c r="G1" t="s">
        <v>20</v>
      </c>
      <c r="H1" t="s">
        <v>62</v>
      </c>
      <c r="I1" t="s">
        <v>108</v>
      </c>
      <c r="J1" t="s">
        <v>109</v>
      </c>
    </row>
    <row r="2" spans="1:10" x14ac:dyDescent="0.25">
      <c r="A2" s="10">
        <v>0</v>
      </c>
      <c r="B2" s="10" t="s">
        <v>64</v>
      </c>
      <c r="C2" t="s">
        <v>30</v>
      </c>
      <c r="D2" s="10" t="s">
        <v>31</v>
      </c>
      <c r="E2" s="10" t="s">
        <v>64</v>
      </c>
      <c r="F2" s="10" t="s">
        <v>93</v>
      </c>
      <c r="G2" t="s">
        <v>21</v>
      </c>
      <c r="H2">
        <v>0</v>
      </c>
      <c r="I2" t="s">
        <v>141</v>
      </c>
      <c r="J2" t="s">
        <v>142</v>
      </c>
    </row>
    <row r="3" spans="1:10" x14ac:dyDescent="0.25">
      <c r="A3" s="10">
        <v>1</v>
      </c>
      <c r="B3" s="10" t="s">
        <v>35</v>
      </c>
      <c r="C3" t="s">
        <v>32</v>
      </c>
      <c r="D3" s="10" t="s">
        <v>31</v>
      </c>
      <c r="E3" s="10" t="s">
        <v>94</v>
      </c>
      <c r="F3" s="10" t="s">
        <v>95</v>
      </c>
      <c r="G3" t="s">
        <v>21</v>
      </c>
      <c r="H3">
        <v>0</v>
      </c>
      <c r="I3" t="s">
        <v>143</v>
      </c>
      <c r="J3" t="s">
        <v>142</v>
      </c>
    </row>
    <row r="4" spans="1:10" x14ac:dyDescent="0.25">
      <c r="A4" s="10">
        <v>2</v>
      </c>
      <c r="B4" s="10" t="s">
        <v>67</v>
      </c>
      <c r="C4" t="s">
        <v>34</v>
      </c>
      <c r="D4" s="10">
        <v>1</v>
      </c>
      <c r="E4" s="10">
        <v>5</v>
      </c>
      <c r="F4" s="10">
        <v>4</v>
      </c>
      <c r="G4" t="s">
        <v>21</v>
      </c>
      <c r="H4">
        <v>0</v>
      </c>
      <c r="I4" t="s">
        <v>111</v>
      </c>
      <c r="J4" t="s">
        <v>111</v>
      </c>
    </row>
    <row r="5" spans="1:10" x14ac:dyDescent="0.25">
      <c r="A5" s="10">
        <v>3</v>
      </c>
      <c r="B5" s="10" t="s">
        <v>65</v>
      </c>
      <c r="C5" t="s">
        <v>34</v>
      </c>
      <c r="D5" s="10">
        <v>1</v>
      </c>
      <c r="E5" s="10">
        <v>5</v>
      </c>
      <c r="F5" s="10">
        <v>5</v>
      </c>
      <c r="G5" t="s">
        <v>21</v>
      </c>
      <c r="H5">
        <v>0</v>
      </c>
      <c r="I5" t="s">
        <v>112</v>
      </c>
      <c r="J5" t="s">
        <v>112</v>
      </c>
    </row>
    <row r="6" spans="1:10" x14ac:dyDescent="0.25">
      <c r="A6" s="10">
        <v>4</v>
      </c>
      <c r="B6" s="10" t="s">
        <v>66</v>
      </c>
      <c r="C6" t="s">
        <v>30</v>
      </c>
      <c r="D6" s="10" t="s">
        <v>27</v>
      </c>
      <c r="E6" s="10" t="s">
        <v>36</v>
      </c>
      <c r="F6" s="10" t="s">
        <v>90</v>
      </c>
      <c r="G6" t="s">
        <v>21</v>
      </c>
      <c r="H6">
        <v>0</v>
      </c>
      <c r="I6" t="s">
        <v>113</v>
      </c>
      <c r="J6" t="s">
        <v>113</v>
      </c>
    </row>
    <row r="7" spans="1:10" x14ac:dyDescent="0.25">
      <c r="A7" s="10">
        <v>5</v>
      </c>
      <c r="B7" s="10" t="s">
        <v>68</v>
      </c>
      <c r="C7" t="s">
        <v>38</v>
      </c>
      <c r="D7" s="10" t="s">
        <v>39</v>
      </c>
      <c r="E7" s="10" t="s">
        <v>60</v>
      </c>
      <c r="F7" s="10" t="s">
        <v>61</v>
      </c>
      <c r="G7" t="s">
        <v>21</v>
      </c>
      <c r="H7">
        <v>0</v>
      </c>
      <c r="I7" t="s">
        <v>114</v>
      </c>
      <c r="J7" t="s">
        <v>114</v>
      </c>
    </row>
    <row r="8" spans="1:10" x14ac:dyDescent="0.25">
      <c r="A8" s="10">
        <v>6</v>
      </c>
      <c r="B8" s="10" t="s">
        <v>69</v>
      </c>
      <c r="C8" t="s">
        <v>30</v>
      </c>
      <c r="D8" s="10" t="s">
        <v>64</v>
      </c>
      <c r="E8" s="10" t="s">
        <v>94</v>
      </c>
      <c r="F8" s="10" t="s">
        <v>105</v>
      </c>
      <c r="G8" t="s">
        <v>21</v>
      </c>
      <c r="H8">
        <v>0</v>
      </c>
      <c r="I8" t="s">
        <v>115</v>
      </c>
      <c r="J8" t="s">
        <v>115</v>
      </c>
    </row>
    <row r="9" spans="1:10" x14ac:dyDescent="0.25">
      <c r="A9" s="10">
        <v>7</v>
      </c>
      <c r="B9" s="10" t="s">
        <v>70</v>
      </c>
      <c r="C9" t="s">
        <v>30</v>
      </c>
      <c r="D9" s="10" t="s">
        <v>40</v>
      </c>
      <c r="E9" s="10" t="s">
        <v>96</v>
      </c>
      <c r="F9" s="10" t="s">
        <v>105</v>
      </c>
      <c r="G9" t="s">
        <v>21</v>
      </c>
      <c r="H9">
        <v>0</v>
      </c>
      <c r="I9" t="s">
        <v>138</v>
      </c>
      <c r="J9" t="s">
        <v>139</v>
      </c>
    </row>
    <row r="10" spans="1:10" x14ac:dyDescent="0.25">
      <c r="A10" s="10">
        <v>8</v>
      </c>
      <c r="B10" s="10" t="s">
        <v>71</v>
      </c>
      <c r="C10" t="s">
        <v>32</v>
      </c>
      <c r="D10" s="10" t="s">
        <v>40</v>
      </c>
      <c r="E10" s="10" t="s">
        <v>35</v>
      </c>
      <c r="F10" s="10" t="s">
        <v>97</v>
      </c>
      <c r="G10" t="s">
        <v>21</v>
      </c>
      <c r="H10">
        <v>0</v>
      </c>
      <c r="I10" t="s">
        <v>140</v>
      </c>
      <c r="J10" t="s">
        <v>139</v>
      </c>
    </row>
    <row r="11" spans="1:10" x14ac:dyDescent="0.25">
      <c r="A11" s="10">
        <v>9</v>
      </c>
      <c r="B11" s="10" t="s">
        <v>72</v>
      </c>
      <c r="C11" t="s">
        <v>41</v>
      </c>
      <c r="D11" s="10" t="s">
        <v>23</v>
      </c>
      <c r="E11" s="10" t="s">
        <v>44</v>
      </c>
      <c r="F11" s="10" t="s">
        <v>59</v>
      </c>
      <c r="G11" t="s">
        <v>21</v>
      </c>
      <c r="H11">
        <v>0</v>
      </c>
      <c r="I11" t="s">
        <v>116</v>
      </c>
      <c r="J11" t="s">
        <v>116</v>
      </c>
    </row>
    <row r="12" spans="1:10" x14ac:dyDescent="0.25">
      <c r="A12" s="10">
        <v>10</v>
      </c>
      <c r="B12" s="10" t="s">
        <v>73</v>
      </c>
      <c r="C12" t="s">
        <v>41</v>
      </c>
      <c r="D12" s="10" t="s">
        <v>65</v>
      </c>
      <c r="E12" s="10" t="s">
        <v>42</v>
      </c>
      <c r="F12" s="10" t="s">
        <v>43</v>
      </c>
      <c r="G12" t="s">
        <v>21</v>
      </c>
      <c r="H12">
        <v>0</v>
      </c>
      <c r="I12" t="s">
        <v>117</v>
      </c>
      <c r="J12" t="s">
        <v>117</v>
      </c>
    </row>
    <row r="13" spans="1:10" x14ac:dyDescent="0.25">
      <c r="A13" s="10">
        <v>11</v>
      </c>
      <c r="B13" s="10" t="s">
        <v>74</v>
      </c>
      <c r="C13" t="s">
        <v>41</v>
      </c>
      <c r="D13" s="10" t="s">
        <v>67</v>
      </c>
      <c r="E13" s="10" t="s">
        <v>57</v>
      </c>
      <c r="F13" s="10" t="s">
        <v>58</v>
      </c>
      <c r="G13" t="s">
        <v>21</v>
      </c>
      <c r="H13">
        <v>0</v>
      </c>
      <c r="I13" t="s">
        <v>118</v>
      </c>
      <c r="J13" t="s">
        <v>118</v>
      </c>
    </row>
    <row r="14" spans="1:10" x14ac:dyDescent="0.25">
      <c r="A14" s="10">
        <v>12</v>
      </c>
      <c r="B14" s="10" t="s">
        <v>75</v>
      </c>
      <c r="C14" t="s">
        <v>41</v>
      </c>
      <c r="D14" s="10" t="s">
        <v>23</v>
      </c>
      <c r="E14" s="10" t="s">
        <v>44</v>
      </c>
      <c r="F14" s="10" t="s">
        <v>59</v>
      </c>
      <c r="G14" t="s">
        <v>28</v>
      </c>
      <c r="H14">
        <v>0</v>
      </c>
      <c r="I14" t="s">
        <v>120</v>
      </c>
      <c r="J14" t="s">
        <v>120</v>
      </c>
    </row>
    <row r="15" spans="1:10" x14ac:dyDescent="0.25">
      <c r="A15" s="10">
        <v>13</v>
      </c>
      <c r="B15" s="10" t="s">
        <v>76</v>
      </c>
      <c r="C15" t="s">
        <v>41</v>
      </c>
      <c r="D15" s="10" t="s">
        <v>35</v>
      </c>
      <c r="E15" s="10" t="s">
        <v>44</v>
      </c>
      <c r="F15" s="10" t="s">
        <v>89</v>
      </c>
      <c r="G15" t="s">
        <v>21</v>
      </c>
      <c r="H15">
        <v>0</v>
      </c>
      <c r="I15" t="s">
        <v>119</v>
      </c>
      <c r="J15" t="s">
        <v>119</v>
      </c>
    </row>
    <row r="16" spans="1:10" x14ac:dyDescent="0.25">
      <c r="A16" s="10">
        <v>14</v>
      </c>
      <c r="B16" s="10" t="s">
        <v>77</v>
      </c>
      <c r="C16" t="s">
        <v>29</v>
      </c>
      <c r="D16" s="10" t="s">
        <v>45</v>
      </c>
      <c r="E16" s="10" t="s">
        <v>35</v>
      </c>
      <c r="F16" s="10" t="s">
        <v>101</v>
      </c>
      <c r="G16" t="s">
        <v>21</v>
      </c>
      <c r="H16">
        <v>0</v>
      </c>
      <c r="I16" t="s">
        <v>165</v>
      </c>
      <c r="J16" t="s">
        <v>167</v>
      </c>
    </row>
    <row r="17" spans="1:10" x14ac:dyDescent="0.25">
      <c r="A17" s="10">
        <v>15</v>
      </c>
      <c r="B17" s="10" t="s">
        <v>37</v>
      </c>
      <c r="C17" t="s">
        <v>29</v>
      </c>
      <c r="D17" s="10" t="s">
        <v>46</v>
      </c>
      <c r="E17" s="10" t="s">
        <v>67</v>
      </c>
      <c r="F17" s="10" t="s">
        <v>98</v>
      </c>
      <c r="G17" t="s">
        <v>21</v>
      </c>
      <c r="H17">
        <v>0</v>
      </c>
      <c r="I17" t="s">
        <v>144</v>
      </c>
      <c r="J17" t="s">
        <v>145</v>
      </c>
    </row>
    <row r="18" spans="1:10" x14ac:dyDescent="0.25">
      <c r="A18" s="10">
        <v>16</v>
      </c>
      <c r="B18" s="10" t="s">
        <v>78</v>
      </c>
      <c r="C18" t="s">
        <v>24</v>
      </c>
      <c r="D18" s="10" t="s">
        <v>47</v>
      </c>
      <c r="E18" s="10" t="s">
        <v>99</v>
      </c>
      <c r="F18" s="10" t="s">
        <v>22</v>
      </c>
      <c r="G18" t="s">
        <v>21</v>
      </c>
      <c r="H18">
        <v>1</v>
      </c>
      <c r="I18" t="s">
        <v>146</v>
      </c>
      <c r="J18" t="s">
        <v>147</v>
      </c>
    </row>
    <row r="19" spans="1:10" x14ac:dyDescent="0.25">
      <c r="A19" s="10">
        <v>17</v>
      </c>
      <c r="B19" s="10" t="s">
        <v>79</v>
      </c>
      <c r="C19" t="s">
        <v>24</v>
      </c>
      <c r="D19" s="10" t="s">
        <v>64</v>
      </c>
      <c r="E19" s="10" t="s">
        <v>99</v>
      </c>
      <c r="F19" s="10" t="s">
        <v>22</v>
      </c>
      <c r="G19" t="s">
        <v>21</v>
      </c>
      <c r="H19">
        <v>1</v>
      </c>
      <c r="I19" t="s">
        <v>121</v>
      </c>
      <c r="J19" t="s">
        <v>121</v>
      </c>
    </row>
    <row r="20" spans="1:10" x14ac:dyDescent="0.25">
      <c r="A20" s="10">
        <v>18</v>
      </c>
      <c r="B20" s="10" t="s">
        <v>123</v>
      </c>
      <c r="C20" t="s">
        <v>49</v>
      </c>
      <c r="D20" s="10">
        <v>1</v>
      </c>
      <c r="E20" s="10">
        <v>0.4</v>
      </c>
      <c r="F20" s="10">
        <v>0.01</v>
      </c>
      <c r="G20" t="s">
        <v>21</v>
      </c>
      <c r="H20">
        <v>0</v>
      </c>
      <c r="I20" t="s">
        <v>124</v>
      </c>
      <c r="J20" t="s">
        <v>124</v>
      </c>
    </row>
    <row r="21" spans="1:10" x14ac:dyDescent="0.25">
      <c r="A21" s="10">
        <v>19</v>
      </c>
      <c r="B21" s="10" t="s">
        <v>125</v>
      </c>
      <c r="C21" t="s">
        <v>152</v>
      </c>
      <c r="D21" s="10">
        <v>1</v>
      </c>
      <c r="E21" s="10">
        <v>0.4</v>
      </c>
      <c r="F21" s="10">
        <v>0.2</v>
      </c>
      <c r="G21" t="s">
        <v>150</v>
      </c>
      <c r="H21">
        <v>0</v>
      </c>
      <c r="I21" t="s">
        <v>124</v>
      </c>
      <c r="J21" t="s">
        <v>124</v>
      </c>
    </row>
    <row r="22" spans="1:10" x14ac:dyDescent="0.25">
      <c r="A22" s="10">
        <v>20</v>
      </c>
      <c r="B22" s="10" t="s">
        <v>126</v>
      </c>
      <c r="C22" t="s">
        <v>152</v>
      </c>
      <c r="D22" s="10">
        <v>1</v>
      </c>
      <c r="E22" s="10">
        <v>0.4</v>
      </c>
      <c r="F22" s="10">
        <v>0.05</v>
      </c>
      <c r="G22" t="s">
        <v>150</v>
      </c>
      <c r="H22">
        <v>0</v>
      </c>
      <c r="I22" t="s">
        <v>124</v>
      </c>
      <c r="J22" t="s">
        <v>124</v>
      </c>
    </row>
    <row r="23" spans="1:10" x14ac:dyDescent="0.25">
      <c r="A23" s="10">
        <v>21</v>
      </c>
      <c r="B23" s="10" t="s">
        <v>50</v>
      </c>
      <c r="C23" t="s">
        <v>49</v>
      </c>
      <c r="D23" s="10" t="s">
        <v>64</v>
      </c>
      <c r="E23" s="10" t="s">
        <v>91</v>
      </c>
      <c r="F23" s="10" t="s">
        <v>92</v>
      </c>
      <c r="G23" t="s">
        <v>21</v>
      </c>
      <c r="H23">
        <v>0</v>
      </c>
      <c r="I23" t="s">
        <v>124</v>
      </c>
      <c r="J23" t="s">
        <v>124</v>
      </c>
    </row>
    <row r="24" spans="1:10" x14ac:dyDescent="0.25">
      <c r="A24" s="10">
        <v>22</v>
      </c>
      <c r="B24" s="10" t="s">
        <v>80</v>
      </c>
      <c r="C24" t="s">
        <v>34</v>
      </c>
      <c r="D24" s="10">
        <v>1</v>
      </c>
      <c r="E24" s="10">
        <v>5</v>
      </c>
      <c r="F24" s="10">
        <v>5</v>
      </c>
      <c r="G24" t="s">
        <v>21</v>
      </c>
      <c r="H24">
        <v>0</v>
      </c>
      <c r="I24" t="s">
        <v>128</v>
      </c>
      <c r="J24" t="s">
        <v>128</v>
      </c>
    </row>
    <row r="25" spans="1:10" x14ac:dyDescent="0.25">
      <c r="A25" s="10">
        <v>23</v>
      </c>
      <c r="B25" s="10" t="s">
        <v>81</v>
      </c>
      <c r="C25" t="s">
        <v>34</v>
      </c>
      <c r="D25" s="10">
        <v>1</v>
      </c>
      <c r="E25" s="10">
        <v>5</v>
      </c>
      <c r="F25" s="10">
        <v>4</v>
      </c>
      <c r="G25" t="s">
        <v>21</v>
      </c>
      <c r="H25">
        <v>0</v>
      </c>
      <c r="I25" t="s">
        <v>129</v>
      </c>
      <c r="J25" t="s">
        <v>129</v>
      </c>
    </row>
    <row r="26" spans="1:10" x14ac:dyDescent="0.25">
      <c r="A26" s="10">
        <v>24</v>
      </c>
      <c r="B26" s="10" t="s">
        <v>82</v>
      </c>
      <c r="C26" t="s">
        <v>34</v>
      </c>
      <c r="D26" s="10">
        <v>1</v>
      </c>
      <c r="E26" s="10">
        <v>5</v>
      </c>
      <c r="F26" s="10">
        <v>8</v>
      </c>
      <c r="G26" t="s">
        <v>21</v>
      </c>
      <c r="H26">
        <v>0</v>
      </c>
      <c r="I26" t="s">
        <v>130</v>
      </c>
      <c r="J26" t="s">
        <v>130</v>
      </c>
    </row>
    <row r="27" spans="1:10" x14ac:dyDescent="0.25">
      <c r="A27" s="10">
        <v>25</v>
      </c>
      <c r="B27" s="10" t="s">
        <v>83</v>
      </c>
      <c r="C27" t="s">
        <v>34</v>
      </c>
      <c r="D27" s="10">
        <v>1</v>
      </c>
      <c r="E27" s="10">
        <v>5</v>
      </c>
      <c r="F27" s="10">
        <v>8</v>
      </c>
      <c r="G27" t="s">
        <v>21</v>
      </c>
      <c r="H27">
        <v>0</v>
      </c>
      <c r="I27" t="s">
        <v>131</v>
      </c>
      <c r="J27" t="s">
        <v>131</v>
      </c>
    </row>
    <row r="28" spans="1:10" x14ac:dyDescent="0.25">
      <c r="A28" s="10">
        <v>26</v>
      </c>
      <c r="B28" s="10" t="s">
        <v>84</v>
      </c>
      <c r="C28" t="s">
        <v>49</v>
      </c>
      <c r="D28" s="10">
        <v>1</v>
      </c>
      <c r="E28" s="10">
        <v>0.4</v>
      </c>
      <c r="F28" s="10">
        <v>0.01</v>
      </c>
      <c r="G28" t="s">
        <v>21</v>
      </c>
      <c r="H28">
        <v>0</v>
      </c>
      <c r="I28" t="s">
        <v>166</v>
      </c>
      <c r="J28" t="s">
        <v>166</v>
      </c>
    </row>
    <row r="29" spans="1:10" x14ac:dyDescent="0.25">
      <c r="A29" s="10">
        <v>27</v>
      </c>
      <c r="B29" s="10" t="s">
        <v>85</v>
      </c>
      <c r="C29" t="s">
        <v>49</v>
      </c>
      <c r="D29" s="10">
        <v>1</v>
      </c>
      <c r="E29" s="10">
        <v>0.4</v>
      </c>
      <c r="F29" s="10">
        <v>0.01</v>
      </c>
      <c r="G29" t="s">
        <v>21</v>
      </c>
      <c r="H29">
        <v>0</v>
      </c>
      <c r="I29" t="s">
        <v>166</v>
      </c>
      <c r="J29" t="s">
        <v>166</v>
      </c>
    </row>
    <row r="30" spans="1:10" x14ac:dyDescent="0.25">
      <c r="A30" s="10">
        <v>28</v>
      </c>
      <c r="B30" s="10" t="s">
        <v>86</v>
      </c>
      <c r="C30" t="s">
        <v>49</v>
      </c>
      <c r="D30" s="10" t="s">
        <v>67</v>
      </c>
      <c r="E30" s="10" t="s">
        <v>91</v>
      </c>
      <c r="F30" s="10" t="s">
        <v>92</v>
      </c>
      <c r="G30" t="s">
        <v>21</v>
      </c>
      <c r="H30">
        <v>0</v>
      </c>
      <c r="I30" t="s">
        <v>133</v>
      </c>
      <c r="J30" t="s">
        <v>133</v>
      </c>
    </row>
    <row r="31" spans="1:10" x14ac:dyDescent="0.25">
      <c r="A31" s="10">
        <v>29</v>
      </c>
      <c r="B31" s="10" t="s">
        <v>54</v>
      </c>
      <c r="C31" t="s">
        <v>49</v>
      </c>
      <c r="D31" s="10" t="s">
        <v>25</v>
      </c>
      <c r="E31" s="10" t="s">
        <v>57</v>
      </c>
      <c r="F31" s="10" t="s">
        <v>58</v>
      </c>
      <c r="G31" t="s">
        <v>21</v>
      </c>
      <c r="H31">
        <v>0</v>
      </c>
      <c r="I31" t="s">
        <v>133</v>
      </c>
      <c r="J31" t="s">
        <v>133</v>
      </c>
    </row>
    <row r="32" spans="1:10" x14ac:dyDescent="0.25">
      <c r="A32" s="10">
        <v>30</v>
      </c>
      <c r="B32" s="10" t="s">
        <v>88</v>
      </c>
      <c r="C32" t="s">
        <v>49</v>
      </c>
      <c r="D32" s="10" t="s">
        <v>25</v>
      </c>
      <c r="E32" s="10" t="s">
        <v>57</v>
      </c>
      <c r="F32" s="10" t="s">
        <v>58</v>
      </c>
      <c r="G32" t="s">
        <v>21</v>
      </c>
      <c r="H32">
        <v>0</v>
      </c>
      <c r="I32" t="s">
        <v>135</v>
      </c>
      <c r="J32" t="s">
        <v>135</v>
      </c>
    </row>
    <row r="33" spans="1:10" x14ac:dyDescent="0.25">
      <c r="A33" s="10">
        <v>31</v>
      </c>
      <c r="B33" s="10" t="s">
        <v>136</v>
      </c>
      <c r="C33" t="s">
        <v>49</v>
      </c>
      <c r="D33" s="10">
        <v>1</v>
      </c>
      <c r="E33" s="10">
        <v>0.4</v>
      </c>
      <c r="F33" s="10">
        <v>0.01</v>
      </c>
      <c r="G33" t="s">
        <v>21</v>
      </c>
      <c r="H33">
        <v>0</v>
      </c>
      <c r="I33" t="s">
        <v>135</v>
      </c>
      <c r="J33" t="s">
        <v>135</v>
      </c>
    </row>
    <row r="34" spans="1:10" x14ac:dyDescent="0.25">
      <c r="A34" s="10">
        <v>32</v>
      </c>
      <c r="B34" s="10" t="s">
        <v>137</v>
      </c>
      <c r="C34" t="s">
        <v>49</v>
      </c>
      <c r="D34" s="10">
        <v>1</v>
      </c>
      <c r="E34" s="10">
        <v>0.4</v>
      </c>
      <c r="F34" s="10">
        <v>0.01</v>
      </c>
      <c r="G34" t="s">
        <v>21</v>
      </c>
      <c r="H34">
        <v>0</v>
      </c>
      <c r="I34" t="s">
        <v>135</v>
      </c>
      <c r="J34" t="s">
        <v>135</v>
      </c>
    </row>
    <row r="35" spans="1:10" x14ac:dyDescent="0.25">
      <c r="A35" s="10">
        <v>33</v>
      </c>
      <c r="B35" s="10" t="s">
        <v>87</v>
      </c>
      <c r="C35" t="s">
        <v>49</v>
      </c>
      <c r="D35" s="10" t="s">
        <v>56</v>
      </c>
      <c r="E35" s="10" t="s">
        <v>96</v>
      </c>
      <c r="F35" s="10" t="s">
        <v>100</v>
      </c>
      <c r="G35" t="s">
        <v>21</v>
      </c>
      <c r="H35">
        <v>0</v>
      </c>
      <c r="I35" t="s">
        <v>148</v>
      </c>
      <c r="J35" t="s">
        <v>149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4AD3E-F978-4118-9A37-E72BA356ACBE}">
  <sheetPr codeName="Лист3">
    <tabColor rgb="FFFFC000"/>
  </sheetPr>
  <dimension ref="A1:C4"/>
  <sheetViews>
    <sheetView workbookViewId="0">
      <selection activeCell="G31" sqref="G31"/>
    </sheetView>
  </sheetViews>
  <sheetFormatPr defaultRowHeight="15.75" x14ac:dyDescent="0.25"/>
  <cols>
    <col min="1" max="2" width="9" style="10"/>
  </cols>
  <sheetData>
    <row r="1" spans="1:3" x14ac:dyDescent="0.25">
      <c r="A1" s="10" t="s">
        <v>63</v>
      </c>
      <c r="B1" s="10" t="s">
        <v>16</v>
      </c>
      <c r="C1" t="s">
        <v>109</v>
      </c>
    </row>
    <row r="2" spans="1:3" x14ac:dyDescent="0.25">
      <c r="A2" s="10">
        <v>0</v>
      </c>
      <c r="B2" s="10" t="s">
        <v>153</v>
      </c>
      <c r="C2" t="s">
        <v>154</v>
      </c>
    </row>
    <row r="3" spans="1:3" x14ac:dyDescent="0.25">
      <c r="A3" s="10">
        <v>1</v>
      </c>
      <c r="B3" s="10" t="s">
        <v>155</v>
      </c>
      <c r="C3" t="s">
        <v>156</v>
      </c>
    </row>
    <row r="4" spans="1:3" x14ac:dyDescent="0.25">
      <c r="A4" s="10">
        <v>2</v>
      </c>
      <c r="B4" s="10" t="s">
        <v>157</v>
      </c>
      <c r="C4" t="s">
        <v>158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E5172-E442-4A43-B84A-7CFC98913823}">
  <sheetPr codeName="Лист8">
    <tabColor rgb="FFFFC000"/>
  </sheetPr>
  <dimension ref="A1:B3"/>
  <sheetViews>
    <sheetView workbookViewId="0">
      <selection activeCell="J21" sqref="J21"/>
    </sheetView>
  </sheetViews>
  <sheetFormatPr defaultRowHeight="15.75" x14ac:dyDescent="0.25"/>
  <cols>
    <col min="1" max="1" width="9" style="10"/>
  </cols>
  <sheetData>
    <row r="1" spans="1:2" x14ac:dyDescent="0.25">
      <c r="A1" s="10" t="s">
        <v>63</v>
      </c>
      <c r="B1" t="s">
        <v>109</v>
      </c>
    </row>
    <row r="2" spans="1:2" x14ac:dyDescent="0.25">
      <c r="A2" s="10">
        <v>0</v>
      </c>
      <c r="B2" t="s">
        <v>160</v>
      </c>
    </row>
    <row r="3" spans="1:2" x14ac:dyDescent="0.25">
      <c r="A3" s="10">
        <v>1</v>
      </c>
      <c r="B3" t="s">
        <v>161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2190-88BF-4C07-B83E-A91AD07990A9}">
  <sheetPr codeName="Лист4"/>
  <dimension ref="A1:K19"/>
  <sheetViews>
    <sheetView tabSelected="1" workbookViewId="0">
      <selection activeCell="J24" sqref="J24"/>
    </sheetView>
  </sheetViews>
  <sheetFormatPr defaultRowHeight="15.75" x14ac:dyDescent="0.25"/>
  <cols>
    <col min="1" max="3" width="9" style="10"/>
    <col min="5" max="7" width="9" style="10"/>
  </cols>
  <sheetData>
    <row r="1" spans="1:11" x14ac:dyDescent="0.25">
      <c r="A1" s="10" t="s">
        <v>63</v>
      </c>
      <c r="B1" s="10" t="s">
        <v>162</v>
      </c>
      <c r="C1" s="10" t="s">
        <v>163</v>
      </c>
      <c r="D1" t="s">
        <v>16</v>
      </c>
      <c r="E1" s="10" t="s">
        <v>17</v>
      </c>
      <c r="F1" s="10" t="s">
        <v>18</v>
      </c>
      <c r="G1" s="10" t="s">
        <v>19</v>
      </c>
      <c r="H1" t="s">
        <v>20</v>
      </c>
      <c r="I1" t="s">
        <v>62</v>
      </c>
      <c r="J1" t="s">
        <v>108</v>
      </c>
      <c r="K1" t="s">
        <v>109</v>
      </c>
    </row>
    <row r="2" spans="1:11" x14ac:dyDescent="0.25">
      <c r="A2" s="10" t="s">
        <v>164</v>
      </c>
      <c r="B2" s="10" t="s">
        <v>67</v>
      </c>
      <c r="C2" s="10" t="s">
        <v>159</v>
      </c>
      <c r="D2" t="s">
        <v>34</v>
      </c>
      <c r="E2" s="10" t="s">
        <v>64</v>
      </c>
      <c r="F2" s="10">
        <v>5</v>
      </c>
      <c r="G2" s="10">
        <v>4</v>
      </c>
      <c r="H2" t="s">
        <v>21</v>
      </c>
      <c r="I2">
        <v>0</v>
      </c>
      <c r="J2" t="s">
        <v>111</v>
      </c>
      <c r="K2" t="s">
        <v>111</v>
      </c>
    </row>
    <row r="3" spans="1:11" x14ac:dyDescent="0.25">
      <c r="A3" s="10" t="s">
        <v>64</v>
      </c>
      <c r="B3" s="10" t="s">
        <v>65</v>
      </c>
      <c r="C3" s="10" t="s">
        <v>159</v>
      </c>
      <c r="D3" t="s">
        <v>34</v>
      </c>
      <c r="E3" s="10" t="s">
        <v>64</v>
      </c>
      <c r="F3" s="10">
        <v>5</v>
      </c>
      <c r="G3" s="10">
        <v>5</v>
      </c>
      <c r="H3" t="s">
        <v>21</v>
      </c>
      <c r="I3">
        <v>0</v>
      </c>
      <c r="J3" t="s">
        <v>112</v>
      </c>
      <c r="K3" t="s">
        <v>112</v>
      </c>
    </row>
    <row r="4" spans="1:11" x14ac:dyDescent="0.25">
      <c r="A4" s="10" t="s">
        <v>35</v>
      </c>
      <c r="B4" s="10" t="s">
        <v>66</v>
      </c>
      <c r="C4" s="10" t="s">
        <v>159</v>
      </c>
      <c r="D4" t="s">
        <v>30</v>
      </c>
      <c r="E4" s="10" t="s">
        <v>27</v>
      </c>
      <c r="F4" s="10" t="s">
        <v>36</v>
      </c>
      <c r="G4" s="10" t="s">
        <v>90</v>
      </c>
      <c r="H4" t="s">
        <v>21</v>
      </c>
      <c r="I4">
        <v>0</v>
      </c>
      <c r="J4" t="s">
        <v>113</v>
      </c>
      <c r="K4" t="s">
        <v>113</v>
      </c>
    </row>
    <row r="5" spans="1:11" x14ac:dyDescent="0.25">
      <c r="A5" s="10" t="s">
        <v>67</v>
      </c>
      <c r="B5" s="10" t="s">
        <v>68</v>
      </c>
      <c r="C5" s="10" t="s">
        <v>159</v>
      </c>
      <c r="D5" t="s">
        <v>38</v>
      </c>
      <c r="E5" s="10" t="s">
        <v>39</v>
      </c>
      <c r="F5" s="10" t="s">
        <v>60</v>
      </c>
      <c r="G5" s="10" t="s">
        <v>61</v>
      </c>
      <c r="H5" t="s">
        <v>21</v>
      </c>
      <c r="I5">
        <v>0</v>
      </c>
      <c r="J5" t="s">
        <v>114</v>
      </c>
      <c r="K5" t="s">
        <v>114</v>
      </c>
    </row>
    <row r="6" spans="1:11" x14ac:dyDescent="0.25">
      <c r="A6" s="10" t="s">
        <v>65</v>
      </c>
      <c r="B6" s="10" t="s">
        <v>69</v>
      </c>
      <c r="C6" s="10" t="s">
        <v>159</v>
      </c>
      <c r="D6" t="s">
        <v>30</v>
      </c>
      <c r="E6" s="10" t="s">
        <v>64</v>
      </c>
      <c r="F6" s="10" t="s">
        <v>94</v>
      </c>
      <c r="G6" s="10" t="s">
        <v>105</v>
      </c>
      <c r="H6" t="s">
        <v>21</v>
      </c>
      <c r="I6">
        <v>0</v>
      </c>
      <c r="J6" t="s">
        <v>115</v>
      </c>
      <c r="K6" t="s">
        <v>115</v>
      </c>
    </row>
    <row r="7" spans="1:11" x14ac:dyDescent="0.25">
      <c r="A7" s="10" t="s">
        <v>66</v>
      </c>
      <c r="B7" s="10" t="s">
        <v>70</v>
      </c>
      <c r="C7" s="10" t="s">
        <v>159</v>
      </c>
      <c r="D7" t="s">
        <v>30</v>
      </c>
      <c r="E7" s="10" t="s">
        <v>168</v>
      </c>
      <c r="F7" s="10" t="s">
        <v>96</v>
      </c>
      <c r="G7" s="10" t="s">
        <v>105</v>
      </c>
      <c r="H7" t="s">
        <v>21</v>
      </c>
      <c r="I7">
        <v>0</v>
      </c>
      <c r="J7" t="s">
        <v>169</v>
      </c>
      <c r="K7" t="s">
        <v>170</v>
      </c>
    </row>
    <row r="8" spans="1:11" x14ac:dyDescent="0.25">
      <c r="A8" s="10" t="s">
        <v>68</v>
      </c>
      <c r="B8" s="10" t="s">
        <v>71</v>
      </c>
      <c r="C8" s="10" t="s">
        <v>159</v>
      </c>
      <c r="D8" t="s">
        <v>32</v>
      </c>
      <c r="E8" s="10" t="s">
        <v>168</v>
      </c>
      <c r="F8" s="10" t="s">
        <v>35</v>
      </c>
      <c r="G8" s="10" t="s">
        <v>97</v>
      </c>
      <c r="H8" t="s">
        <v>21</v>
      </c>
      <c r="I8">
        <v>0</v>
      </c>
      <c r="J8" t="s">
        <v>169</v>
      </c>
      <c r="K8" t="s">
        <v>170</v>
      </c>
    </row>
    <row r="9" spans="1:11" x14ac:dyDescent="0.25">
      <c r="A9" s="10" t="s">
        <v>69</v>
      </c>
      <c r="B9" s="10" t="s">
        <v>77</v>
      </c>
      <c r="C9" s="10" t="s">
        <v>159</v>
      </c>
      <c r="D9" t="s">
        <v>29</v>
      </c>
      <c r="E9" s="10" t="s">
        <v>171</v>
      </c>
      <c r="F9" s="10" t="s">
        <v>35</v>
      </c>
      <c r="G9" s="10" t="s">
        <v>101</v>
      </c>
      <c r="H9" t="s">
        <v>21</v>
      </c>
      <c r="I9">
        <v>0</v>
      </c>
      <c r="J9" t="s">
        <v>172</v>
      </c>
      <c r="K9" t="s">
        <v>173</v>
      </c>
    </row>
    <row r="10" spans="1:11" x14ac:dyDescent="0.25">
      <c r="A10" s="10" t="s">
        <v>70</v>
      </c>
      <c r="B10" s="10" t="s">
        <v>37</v>
      </c>
      <c r="C10" s="10" t="s">
        <v>159</v>
      </c>
      <c r="D10" t="s">
        <v>29</v>
      </c>
      <c r="E10" s="10" t="s">
        <v>174</v>
      </c>
      <c r="F10" s="10" t="s">
        <v>67</v>
      </c>
      <c r="G10" s="10" t="s">
        <v>98</v>
      </c>
      <c r="H10" t="s">
        <v>21</v>
      </c>
      <c r="I10">
        <v>0</v>
      </c>
      <c r="J10" t="s">
        <v>175</v>
      </c>
      <c r="K10" t="s">
        <v>176</v>
      </c>
    </row>
    <row r="11" spans="1:11" x14ac:dyDescent="0.25">
      <c r="A11" s="10" t="s">
        <v>71</v>
      </c>
      <c r="B11" s="10" t="s">
        <v>123</v>
      </c>
      <c r="C11" s="10" t="s">
        <v>159</v>
      </c>
      <c r="D11" t="s">
        <v>49</v>
      </c>
      <c r="E11" s="10" t="s">
        <v>64</v>
      </c>
      <c r="F11" s="10">
        <v>0.4</v>
      </c>
      <c r="G11" s="10">
        <v>0.01</v>
      </c>
      <c r="H11" t="s">
        <v>21</v>
      </c>
      <c r="I11">
        <v>0</v>
      </c>
      <c r="J11" t="s">
        <v>124</v>
      </c>
      <c r="K11" t="s">
        <v>124</v>
      </c>
    </row>
    <row r="12" spans="1:11" x14ac:dyDescent="0.25">
      <c r="A12" s="10" t="s">
        <v>72</v>
      </c>
      <c r="B12" s="10" t="s">
        <v>125</v>
      </c>
      <c r="C12" s="10" t="s">
        <v>159</v>
      </c>
      <c r="D12" t="s">
        <v>152</v>
      </c>
      <c r="E12" s="10" t="s">
        <v>64</v>
      </c>
      <c r="F12" s="10">
        <v>0.4</v>
      </c>
      <c r="G12" s="10">
        <v>0.2</v>
      </c>
      <c r="H12" t="s">
        <v>150</v>
      </c>
      <c r="I12">
        <v>0</v>
      </c>
      <c r="J12" t="s">
        <v>124</v>
      </c>
      <c r="K12" t="s">
        <v>124</v>
      </c>
    </row>
    <row r="13" spans="1:11" x14ac:dyDescent="0.25">
      <c r="A13" s="10" t="s">
        <v>73</v>
      </c>
      <c r="B13" s="10" t="s">
        <v>126</v>
      </c>
      <c r="C13" s="10" t="s">
        <v>159</v>
      </c>
      <c r="D13" t="s">
        <v>152</v>
      </c>
      <c r="E13" s="10" t="s">
        <v>64</v>
      </c>
      <c r="F13" s="10">
        <v>0.4</v>
      </c>
      <c r="G13" s="10">
        <v>0.05</v>
      </c>
      <c r="H13" t="s">
        <v>150</v>
      </c>
      <c r="I13">
        <v>0</v>
      </c>
      <c r="J13" t="s">
        <v>124</v>
      </c>
      <c r="K13" t="s">
        <v>124</v>
      </c>
    </row>
    <row r="14" spans="1:11" x14ac:dyDescent="0.25">
      <c r="A14" s="10" t="s">
        <v>74</v>
      </c>
      <c r="B14" s="10" t="s">
        <v>50</v>
      </c>
      <c r="C14" s="10" t="s">
        <v>159</v>
      </c>
      <c r="D14" t="s">
        <v>49</v>
      </c>
      <c r="E14" s="10" t="s">
        <v>64</v>
      </c>
      <c r="F14" s="10" t="s">
        <v>91</v>
      </c>
      <c r="G14" s="10" t="s">
        <v>92</v>
      </c>
      <c r="H14" t="s">
        <v>21</v>
      </c>
      <c r="I14">
        <v>0</v>
      </c>
      <c r="J14" t="s">
        <v>124</v>
      </c>
      <c r="K14" t="s">
        <v>124</v>
      </c>
    </row>
    <row r="15" spans="1:11" x14ac:dyDescent="0.25">
      <c r="A15" s="10" t="s">
        <v>75</v>
      </c>
      <c r="B15" s="10" t="s">
        <v>86</v>
      </c>
      <c r="C15" s="10" t="s">
        <v>159</v>
      </c>
      <c r="D15" t="s">
        <v>49</v>
      </c>
      <c r="E15" s="10" t="s">
        <v>67</v>
      </c>
      <c r="F15" s="10" t="s">
        <v>91</v>
      </c>
      <c r="G15" s="10" t="s">
        <v>92</v>
      </c>
      <c r="H15" t="s">
        <v>21</v>
      </c>
      <c r="I15">
        <v>0</v>
      </c>
      <c r="J15" t="s">
        <v>133</v>
      </c>
      <c r="K15" t="s">
        <v>133</v>
      </c>
    </row>
    <row r="16" spans="1:11" x14ac:dyDescent="0.25">
      <c r="A16" s="10" t="s">
        <v>76</v>
      </c>
      <c r="B16" s="10" t="s">
        <v>54</v>
      </c>
      <c r="C16" s="10" t="s">
        <v>159</v>
      </c>
      <c r="D16" t="s">
        <v>49</v>
      </c>
      <c r="E16" s="10" t="s">
        <v>25</v>
      </c>
      <c r="F16" s="10" t="s">
        <v>57</v>
      </c>
      <c r="G16" s="10" t="s">
        <v>58</v>
      </c>
      <c r="H16" t="s">
        <v>21</v>
      </c>
      <c r="I16">
        <v>0</v>
      </c>
      <c r="J16" t="s">
        <v>133</v>
      </c>
      <c r="K16" t="s">
        <v>133</v>
      </c>
    </row>
    <row r="17" spans="1:11" x14ac:dyDescent="0.25">
      <c r="A17" s="10" t="s">
        <v>77</v>
      </c>
      <c r="B17" s="10" t="s">
        <v>88</v>
      </c>
      <c r="C17" s="10" t="s">
        <v>159</v>
      </c>
      <c r="D17" t="s">
        <v>49</v>
      </c>
      <c r="E17" s="10" t="s">
        <v>25</v>
      </c>
      <c r="F17" s="10" t="s">
        <v>57</v>
      </c>
      <c r="G17" s="10" t="s">
        <v>58</v>
      </c>
      <c r="H17" t="s">
        <v>21</v>
      </c>
      <c r="I17">
        <v>0</v>
      </c>
      <c r="J17" t="s">
        <v>135</v>
      </c>
      <c r="K17" t="s">
        <v>135</v>
      </c>
    </row>
    <row r="18" spans="1:11" x14ac:dyDescent="0.25">
      <c r="A18" s="10" t="s">
        <v>37</v>
      </c>
      <c r="B18" s="10" t="s">
        <v>136</v>
      </c>
      <c r="C18" s="10" t="s">
        <v>159</v>
      </c>
      <c r="D18" t="s">
        <v>49</v>
      </c>
      <c r="E18" s="10" t="s">
        <v>64</v>
      </c>
      <c r="F18" s="10">
        <v>0.4</v>
      </c>
      <c r="G18" s="10">
        <v>0.01</v>
      </c>
      <c r="H18" t="s">
        <v>21</v>
      </c>
      <c r="I18">
        <v>0</v>
      </c>
      <c r="J18" t="s">
        <v>135</v>
      </c>
      <c r="K18" t="s">
        <v>135</v>
      </c>
    </row>
    <row r="19" spans="1:11" x14ac:dyDescent="0.25">
      <c r="A19" s="10" t="s">
        <v>78</v>
      </c>
      <c r="B19" s="10" t="s">
        <v>137</v>
      </c>
      <c r="C19" s="10" t="s">
        <v>159</v>
      </c>
      <c r="D19" t="s">
        <v>49</v>
      </c>
      <c r="E19" s="10" t="s">
        <v>64</v>
      </c>
      <c r="F19" s="10">
        <v>0.4</v>
      </c>
      <c r="G19" s="10">
        <v>0.01</v>
      </c>
      <c r="H19" t="s">
        <v>21</v>
      </c>
      <c r="I19">
        <v>0</v>
      </c>
      <c r="J19" t="s">
        <v>135</v>
      </c>
      <c r="K19" t="s">
        <v>135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B3980-FF42-419D-85B0-E96ABEC02F08}">
  <sheetPr codeName="Лист5"/>
  <dimension ref="A1:K19"/>
  <sheetViews>
    <sheetView workbookViewId="0">
      <selection activeCell="F3" sqref="F3"/>
    </sheetView>
  </sheetViews>
  <sheetFormatPr defaultRowHeight="15.75" x14ac:dyDescent="0.25"/>
  <cols>
    <col min="1" max="3" width="9" style="10"/>
    <col min="5" max="7" width="9" style="10"/>
  </cols>
  <sheetData>
    <row r="1" spans="1:11" x14ac:dyDescent="0.25">
      <c r="A1" s="10" t="s">
        <v>63</v>
      </c>
      <c r="B1" s="10" t="s">
        <v>162</v>
      </c>
      <c r="C1" s="10" t="s">
        <v>163</v>
      </c>
      <c r="D1" t="s">
        <v>16</v>
      </c>
      <c r="E1" s="10" t="s">
        <v>17</v>
      </c>
      <c r="F1" s="10" t="s">
        <v>18</v>
      </c>
      <c r="G1" s="10" t="s">
        <v>19</v>
      </c>
      <c r="H1" t="s">
        <v>20</v>
      </c>
      <c r="I1" t="s">
        <v>62</v>
      </c>
      <c r="J1" t="s">
        <v>108</v>
      </c>
      <c r="K1" t="s">
        <v>109</v>
      </c>
    </row>
    <row r="2" spans="1:11" x14ac:dyDescent="0.25">
      <c r="A2" s="10" t="s">
        <v>164</v>
      </c>
      <c r="B2" s="10" t="s">
        <v>64</v>
      </c>
      <c r="C2" s="10" t="s">
        <v>159</v>
      </c>
      <c r="D2" t="s">
        <v>30</v>
      </c>
      <c r="E2" s="10" t="s">
        <v>177</v>
      </c>
      <c r="F2" s="10" t="s">
        <v>64</v>
      </c>
      <c r="G2" s="10" t="s">
        <v>93</v>
      </c>
      <c r="H2" t="s">
        <v>21</v>
      </c>
      <c r="I2">
        <v>0</v>
      </c>
      <c r="J2" t="s">
        <v>178</v>
      </c>
      <c r="K2" t="s">
        <v>179</v>
      </c>
    </row>
    <row r="3" spans="1:11" x14ac:dyDescent="0.25">
      <c r="A3" s="10" t="s">
        <v>64</v>
      </c>
      <c r="B3" s="10" t="s">
        <v>35</v>
      </c>
      <c r="C3" s="10" t="s">
        <v>159</v>
      </c>
      <c r="D3" t="s">
        <v>32</v>
      </c>
      <c r="E3" s="10" t="s">
        <v>177</v>
      </c>
      <c r="F3" s="10" t="s">
        <v>94</v>
      </c>
      <c r="G3" s="10" t="s">
        <v>95</v>
      </c>
      <c r="H3" t="s">
        <v>21</v>
      </c>
      <c r="I3">
        <v>0</v>
      </c>
      <c r="J3" t="s">
        <v>178</v>
      </c>
      <c r="K3" t="s">
        <v>179</v>
      </c>
    </row>
    <row r="4" spans="1:11" x14ac:dyDescent="0.25">
      <c r="A4" s="10" t="s">
        <v>35</v>
      </c>
      <c r="B4" s="10" t="s">
        <v>70</v>
      </c>
      <c r="C4" s="10" t="s">
        <v>159</v>
      </c>
      <c r="D4" t="s">
        <v>30</v>
      </c>
      <c r="E4" s="10" t="s">
        <v>180</v>
      </c>
      <c r="F4" s="10" t="s">
        <v>96</v>
      </c>
      <c r="G4" s="10" t="s">
        <v>105</v>
      </c>
      <c r="H4" t="s">
        <v>21</v>
      </c>
      <c r="I4">
        <v>0</v>
      </c>
      <c r="J4" t="s">
        <v>181</v>
      </c>
      <c r="K4" t="s">
        <v>182</v>
      </c>
    </row>
    <row r="5" spans="1:11" x14ac:dyDescent="0.25">
      <c r="A5" s="10" t="s">
        <v>67</v>
      </c>
      <c r="B5" s="10" t="s">
        <v>71</v>
      </c>
      <c r="C5" s="10" t="s">
        <v>159</v>
      </c>
      <c r="D5" t="s">
        <v>32</v>
      </c>
      <c r="E5" s="10" t="s">
        <v>180</v>
      </c>
      <c r="F5" s="10" t="s">
        <v>35</v>
      </c>
      <c r="G5" s="10" t="s">
        <v>97</v>
      </c>
      <c r="H5" t="s">
        <v>21</v>
      </c>
      <c r="I5">
        <v>0</v>
      </c>
      <c r="J5" t="s">
        <v>181</v>
      </c>
      <c r="K5" t="s">
        <v>182</v>
      </c>
    </row>
    <row r="6" spans="1:11" x14ac:dyDescent="0.25">
      <c r="A6" s="10" t="s">
        <v>65</v>
      </c>
      <c r="B6" s="10" t="s">
        <v>72</v>
      </c>
      <c r="C6" s="10" t="s">
        <v>159</v>
      </c>
      <c r="D6" t="s">
        <v>41</v>
      </c>
      <c r="E6" s="10" t="s">
        <v>23</v>
      </c>
      <c r="F6" s="10" t="s">
        <v>44</v>
      </c>
      <c r="G6" s="10" t="s">
        <v>59</v>
      </c>
      <c r="H6" t="s">
        <v>21</v>
      </c>
      <c r="I6">
        <v>0</v>
      </c>
      <c r="J6" t="s">
        <v>116</v>
      </c>
      <c r="K6" t="s">
        <v>116</v>
      </c>
    </row>
    <row r="7" spans="1:11" x14ac:dyDescent="0.25">
      <c r="A7" s="10" t="s">
        <v>66</v>
      </c>
      <c r="B7" s="10" t="s">
        <v>73</v>
      </c>
      <c r="C7" s="10" t="s">
        <v>159</v>
      </c>
      <c r="D7" t="s">
        <v>41</v>
      </c>
      <c r="E7" s="10" t="s">
        <v>65</v>
      </c>
      <c r="F7" s="10" t="s">
        <v>42</v>
      </c>
      <c r="G7" s="10" t="s">
        <v>43</v>
      </c>
      <c r="H7" t="s">
        <v>21</v>
      </c>
      <c r="I7">
        <v>0</v>
      </c>
      <c r="J7" t="s">
        <v>117</v>
      </c>
      <c r="K7" t="s">
        <v>117</v>
      </c>
    </row>
    <row r="8" spans="1:11" x14ac:dyDescent="0.25">
      <c r="A8" s="10" t="s">
        <v>68</v>
      </c>
      <c r="B8" s="10" t="s">
        <v>74</v>
      </c>
      <c r="C8" s="10" t="s">
        <v>159</v>
      </c>
      <c r="D8" t="s">
        <v>41</v>
      </c>
      <c r="E8" s="10" t="s">
        <v>67</v>
      </c>
      <c r="F8" s="10" t="s">
        <v>57</v>
      </c>
      <c r="G8" s="10" t="s">
        <v>58</v>
      </c>
      <c r="H8" t="s">
        <v>21</v>
      </c>
      <c r="I8">
        <v>0</v>
      </c>
      <c r="J8" t="s">
        <v>118</v>
      </c>
      <c r="K8" t="s">
        <v>118</v>
      </c>
    </row>
    <row r="9" spans="1:11" x14ac:dyDescent="0.25">
      <c r="A9" s="10" t="s">
        <v>69</v>
      </c>
      <c r="B9" s="10" t="s">
        <v>75</v>
      </c>
      <c r="C9" s="10" t="s">
        <v>159</v>
      </c>
      <c r="D9" t="s">
        <v>41</v>
      </c>
      <c r="E9" s="10" t="s">
        <v>23</v>
      </c>
      <c r="F9" s="10" t="s">
        <v>44</v>
      </c>
      <c r="G9" s="10" t="s">
        <v>59</v>
      </c>
      <c r="H9" t="s">
        <v>28</v>
      </c>
      <c r="I9">
        <v>0</v>
      </c>
      <c r="J9" t="s">
        <v>120</v>
      </c>
      <c r="K9" t="s">
        <v>120</v>
      </c>
    </row>
    <row r="10" spans="1:11" x14ac:dyDescent="0.25">
      <c r="A10" s="10" t="s">
        <v>70</v>
      </c>
      <c r="B10" s="10" t="s">
        <v>76</v>
      </c>
      <c r="C10" s="10" t="s">
        <v>159</v>
      </c>
      <c r="D10" t="s">
        <v>41</v>
      </c>
      <c r="E10" s="10" t="s">
        <v>35</v>
      </c>
      <c r="F10" s="10" t="s">
        <v>44</v>
      </c>
      <c r="G10" s="10" t="s">
        <v>89</v>
      </c>
      <c r="H10" t="s">
        <v>21</v>
      </c>
      <c r="I10">
        <v>0</v>
      </c>
      <c r="J10" t="s">
        <v>119</v>
      </c>
      <c r="K10" t="s">
        <v>119</v>
      </c>
    </row>
    <row r="11" spans="1:11" x14ac:dyDescent="0.25">
      <c r="A11" s="10" t="s">
        <v>71</v>
      </c>
      <c r="B11" s="10" t="s">
        <v>183</v>
      </c>
      <c r="C11" s="10" t="s">
        <v>159</v>
      </c>
      <c r="D11" t="s">
        <v>29</v>
      </c>
      <c r="E11" s="10" t="s">
        <v>184</v>
      </c>
      <c r="F11" s="10" t="s">
        <v>35</v>
      </c>
      <c r="G11" s="10" t="s">
        <v>101</v>
      </c>
      <c r="H11" t="s">
        <v>21</v>
      </c>
      <c r="I11">
        <v>0</v>
      </c>
      <c r="J11" t="s">
        <v>185</v>
      </c>
      <c r="K11" t="s">
        <v>186</v>
      </c>
    </row>
    <row r="12" spans="1:11" x14ac:dyDescent="0.25">
      <c r="A12" s="10" t="s">
        <v>72</v>
      </c>
      <c r="B12" s="10" t="s">
        <v>187</v>
      </c>
      <c r="C12" s="10" t="s">
        <v>159</v>
      </c>
      <c r="D12" t="s">
        <v>29</v>
      </c>
      <c r="E12" s="10" t="s">
        <v>188</v>
      </c>
      <c r="F12" s="10" t="s">
        <v>35</v>
      </c>
      <c r="G12" s="10" t="s">
        <v>101</v>
      </c>
      <c r="H12" t="s">
        <v>21</v>
      </c>
      <c r="I12">
        <v>0</v>
      </c>
      <c r="J12" t="s">
        <v>189</v>
      </c>
      <c r="K12" t="s">
        <v>190</v>
      </c>
    </row>
    <row r="13" spans="1:11" x14ac:dyDescent="0.25">
      <c r="A13" s="10" t="s">
        <v>73</v>
      </c>
      <c r="B13" s="10" t="s">
        <v>37</v>
      </c>
      <c r="C13" s="10" t="s">
        <v>159</v>
      </c>
      <c r="D13" t="s">
        <v>29</v>
      </c>
      <c r="E13" s="10" t="s">
        <v>191</v>
      </c>
      <c r="F13" s="10" t="s">
        <v>67</v>
      </c>
      <c r="G13" s="10" t="s">
        <v>98</v>
      </c>
      <c r="H13" t="s">
        <v>21</v>
      </c>
      <c r="I13">
        <v>0</v>
      </c>
      <c r="J13" t="s">
        <v>192</v>
      </c>
      <c r="K13" t="s">
        <v>193</v>
      </c>
    </row>
    <row r="14" spans="1:11" x14ac:dyDescent="0.25">
      <c r="A14" s="10" t="s">
        <v>74</v>
      </c>
      <c r="B14" s="10" t="s">
        <v>78</v>
      </c>
      <c r="C14" s="10" t="s">
        <v>159</v>
      </c>
      <c r="D14" t="s">
        <v>24</v>
      </c>
      <c r="E14" s="10" t="s">
        <v>194</v>
      </c>
      <c r="F14" s="10" t="s">
        <v>99</v>
      </c>
      <c r="G14" s="10" t="s">
        <v>22</v>
      </c>
      <c r="H14" t="s">
        <v>21</v>
      </c>
      <c r="I14">
        <v>1</v>
      </c>
      <c r="J14" t="s">
        <v>195</v>
      </c>
      <c r="K14" t="s">
        <v>196</v>
      </c>
    </row>
    <row r="15" spans="1:11" x14ac:dyDescent="0.25">
      <c r="A15" s="10" t="s">
        <v>75</v>
      </c>
      <c r="B15" s="10" t="s">
        <v>79</v>
      </c>
      <c r="C15" s="10" t="s">
        <v>159</v>
      </c>
      <c r="D15" t="s">
        <v>24</v>
      </c>
      <c r="E15" s="10" t="s">
        <v>64</v>
      </c>
      <c r="F15" s="10" t="s">
        <v>99</v>
      </c>
      <c r="G15" s="10" t="s">
        <v>22</v>
      </c>
      <c r="H15" t="s">
        <v>21</v>
      </c>
      <c r="I15">
        <v>1</v>
      </c>
      <c r="J15" t="s">
        <v>121</v>
      </c>
      <c r="K15" t="s">
        <v>121</v>
      </c>
    </row>
    <row r="16" spans="1:11" x14ac:dyDescent="0.25">
      <c r="A16" s="10" t="s">
        <v>76</v>
      </c>
      <c r="B16" s="10" t="s">
        <v>80</v>
      </c>
      <c r="C16" s="10" t="s">
        <v>159</v>
      </c>
      <c r="D16" t="s">
        <v>34</v>
      </c>
      <c r="E16" s="10" t="s">
        <v>64</v>
      </c>
      <c r="F16" s="10">
        <v>5</v>
      </c>
      <c r="G16" s="10">
        <v>5</v>
      </c>
      <c r="H16" t="s">
        <v>21</v>
      </c>
      <c r="I16">
        <v>0</v>
      </c>
      <c r="J16" t="s">
        <v>128</v>
      </c>
      <c r="K16" t="s">
        <v>128</v>
      </c>
    </row>
    <row r="17" spans="1:11" x14ac:dyDescent="0.25">
      <c r="A17" s="10" t="s">
        <v>77</v>
      </c>
      <c r="B17" s="10" t="s">
        <v>81</v>
      </c>
      <c r="C17" s="10" t="s">
        <v>159</v>
      </c>
      <c r="D17" t="s">
        <v>34</v>
      </c>
      <c r="E17" s="10" t="s">
        <v>64</v>
      </c>
      <c r="F17" s="10">
        <v>5</v>
      </c>
      <c r="G17" s="10">
        <v>4</v>
      </c>
      <c r="H17" t="s">
        <v>21</v>
      </c>
      <c r="I17">
        <v>0</v>
      </c>
      <c r="J17" t="s">
        <v>129</v>
      </c>
      <c r="K17" t="s">
        <v>129</v>
      </c>
    </row>
    <row r="18" spans="1:11" x14ac:dyDescent="0.25">
      <c r="A18" s="10" t="s">
        <v>37</v>
      </c>
      <c r="B18" s="10" t="s">
        <v>82</v>
      </c>
      <c r="C18" s="10" t="s">
        <v>159</v>
      </c>
      <c r="D18" t="s">
        <v>34</v>
      </c>
      <c r="E18" s="10" t="s">
        <v>64</v>
      </c>
      <c r="F18" s="10">
        <v>5</v>
      </c>
      <c r="G18" s="10">
        <v>8</v>
      </c>
      <c r="H18" t="s">
        <v>21</v>
      </c>
      <c r="I18">
        <v>0</v>
      </c>
      <c r="J18" t="s">
        <v>130</v>
      </c>
      <c r="K18" t="s">
        <v>130</v>
      </c>
    </row>
    <row r="19" spans="1:11" x14ac:dyDescent="0.25">
      <c r="A19" s="10" t="s">
        <v>78</v>
      </c>
      <c r="B19" s="10" t="s">
        <v>87</v>
      </c>
      <c r="C19" s="10" t="s">
        <v>159</v>
      </c>
      <c r="D19" t="s">
        <v>49</v>
      </c>
      <c r="E19" s="10" t="s">
        <v>197</v>
      </c>
      <c r="F19" s="10" t="s">
        <v>96</v>
      </c>
      <c r="G19" s="10" t="s">
        <v>100</v>
      </c>
      <c r="H19" t="s">
        <v>21</v>
      </c>
      <c r="I19">
        <v>0</v>
      </c>
      <c r="J19" t="s">
        <v>198</v>
      </c>
      <c r="K19" t="s">
        <v>199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DCE2C-E97A-4724-948D-CF832CD57AD6}">
  <sheetPr codeName="Лист6"/>
  <dimension ref="A1:K3"/>
  <sheetViews>
    <sheetView workbookViewId="0">
      <selection activeCell="I17" sqref="I17"/>
    </sheetView>
  </sheetViews>
  <sheetFormatPr defaultRowHeight="15.75" x14ac:dyDescent="0.25"/>
  <cols>
    <col min="1" max="3" width="9" style="10"/>
    <col min="5" max="7" width="9" style="10"/>
  </cols>
  <sheetData>
    <row r="1" spans="1:11" x14ac:dyDescent="0.25">
      <c r="A1" s="10" t="s">
        <v>63</v>
      </c>
      <c r="B1" s="10" t="s">
        <v>162</v>
      </c>
      <c r="C1" s="10" t="s">
        <v>163</v>
      </c>
      <c r="D1" t="s">
        <v>16</v>
      </c>
      <c r="E1" s="10" t="s">
        <v>17</v>
      </c>
      <c r="F1" s="10" t="s">
        <v>18</v>
      </c>
      <c r="G1" s="10" t="s">
        <v>19</v>
      </c>
      <c r="H1" t="s">
        <v>20</v>
      </c>
      <c r="I1" t="s">
        <v>62</v>
      </c>
      <c r="J1" t="s">
        <v>108</v>
      </c>
      <c r="K1" t="s">
        <v>109</v>
      </c>
    </row>
    <row r="2" spans="1:11" x14ac:dyDescent="0.25">
      <c r="A2" s="10" t="s">
        <v>164</v>
      </c>
      <c r="B2" s="10" t="s">
        <v>84</v>
      </c>
      <c r="C2" s="10" t="s">
        <v>159</v>
      </c>
      <c r="D2" t="s">
        <v>49</v>
      </c>
      <c r="E2" s="10" t="s">
        <v>64</v>
      </c>
      <c r="F2" s="10">
        <v>0.4</v>
      </c>
      <c r="G2" s="10">
        <v>0.01</v>
      </c>
      <c r="H2" t="s">
        <v>21</v>
      </c>
      <c r="I2">
        <v>0</v>
      </c>
      <c r="J2" t="s">
        <v>166</v>
      </c>
      <c r="K2" t="s">
        <v>166</v>
      </c>
    </row>
    <row r="3" spans="1:11" x14ac:dyDescent="0.25">
      <c r="A3" s="10" t="s">
        <v>64</v>
      </c>
      <c r="B3" s="10" t="s">
        <v>85</v>
      </c>
      <c r="C3" s="10" t="s">
        <v>159</v>
      </c>
      <c r="D3" t="s">
        <v>49</v>
      </c>
      <c r="E3" s="10" t="s">
        <v>64</v>
      </c>
      <c r="F3" s="10">
        <v>0.4</v>
      </c>
      <c r="G3" s="10">
        <v>0.01</v>
      </c>
      <c r="H3" t="s">
        <v>21</v>
      </c>
      <c r="I3">
        <v>0</v>
      </c>
      <c r="J3" t="s">
        <v>166</v>
      </c>
      <c r="K3" t="s">
        <v>166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9</vt:i4>
      </vt:variant>
    </vt:vector>
  </HeadingPairs>
  <TitlesOfParts>
    <vt:vector size="9" baseType="lpstr">
      <vt:lpstr>_xlwings.conf</vt:lpstr>
      <vt:lpstr>Ведомость</vt:lpstr>
      <vt:lpstr>Автокад</vt:lpstr>
      <vt:lpstr>Ведомость ОРМ</vt:lpstr>
      <vt:lpstr>Зоны</vt:lpstr>
      <vt:lpstr>Охранные зоны</vt:lpstr>
      <vt:lpstr>Зона 1</vt:lpstr>
      <vt:lpstr>Зона 2</vt:lpstr>
      <vt:lpstr>Зона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Мысливец</cp:lastModifiedBy>
  <dcterms:created xsi:type="dcterms:W3CDTF">2015-01-25T11:31:25Z</dcterms:created>
  <dcterms:modified xsi:type="dcterms:W3CDTF">2025-01-13T13:46:33Z</dcterms:modified>
</cp:coreProperties>
</file>