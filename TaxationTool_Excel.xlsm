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BACE7890-0E1C-4CE9-8F43-55CE30AC0DFF}" xr6:coauthVersionLast="47" xr6:coauthVersionMax="47" xr10:uidLastSave="{00000000-0000-0000-0000-000000000000}"/>
  <bookViews>
    <workbookView xWindow="0" yWindow="30" windowWidth="17235" windowHeight="14670" tabRatio="748" firstSheet="1" activeTab="4" xr2:uid="{00000000-000D-0000-FFFF-FFFF00000000}"/>
  </bookViews>
  <sheets>
    <sheet name="_xlwings.conf" sheetId="2" state="hidden" r:id="rId1"/>
    <sheet name="Ведомость" sheetId="3" r:id="rId2"/>
    <sheet name="Автокад" sheetId="5" r:id="rId3"/>
    <sheet name="Ведомость ОРМ" sheetId="13" r:id="rId4"/>
    <sheet name="Зоны" sheetId="7" r:id="rId5"/>
    <sheet name="Зона 1" sheetId="8" r:id="rId6"/>
    <sheet name="Зона 2" sheetId="12" r:id="rId7"/>
    <sheet name="Зона 3" sheetId="11" r:id="rId8"/>
  </sheets>
  <functionGroups builtInGroupCount="19">
    <functionGroup name="xlwings"/>
  </functionGroups>
  <calcPr calcId="19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2" i="3" l="1"/>
  <c r="H19" i="3"/>
  <c r="H20" i="3"/>
  <c r="H3" i="3"/>
  <c r="H21" i="3"/>
  <c r="H11" i="3"/>
  <c r="H13" i="3"/>
  <c r="H14" i="3"/>
  <c r="H8" i="3"/>
  <c r="H23" i="3"/>
  <c r="H9" i="3"/>
  <c r="H10" i="3"/>
  <c r="H4" i="3"/>
  <c r="H24" i="3"/>
  <c r="H26" i="3"/>
  <c r="H15" i="3"/>
  <c r="H27" i="3"/>
  <c r="H22" i="3"/>
  <c r="H12" i="3"/>
  <c r="H25" i="3"/>
  <c r="H7" i="3"/>
  <c r="H16" i="3"/>
  <c r="H5" i="3"/>
  <c r="H17" i="3"/>
  <c r="H6" i="3"/>
  <c r="H18" i="3"/>
  <c r="I18" i="3"/>
  <c r="I24" i="3"/>
  <c r="I19" i="3"/>
  <c r="I10" i="3"/>
  <c r="I23" i="3"/>
  <c r="I12" i="3"/>
  <c r="I21" i="3"/>
  <c r="I20" i="3"/>
  <c r="I6" i="3"/>
  <c r="I4" i="3"/>
  <c r="I2" i="3"/>
  <c r="I5" i="3"/>
  <c r="I8" i="3"/>
  <c r="I22" i="3"/>
  <c r="I15" i="3"/>
  <c r="I17" i="3"/>
  <c r="I9" i="3"/>
  <c r="I13" i="3"/>
  <c r="I27" i="3"/>
  <c r="I25" i="3"/>
  <c r="I16" i="3"/>
  <c r="I7" i="3"/>
  <c r="I14" i="3"/>
  <c r="I11" i="3"/>
  <c r="I3" i="3"/>
  <c r="I26" i="3"/>
</calcChain>
</file>

<file path=xl/sharedStrings.xml><?xml version="1.0" encoding="utf-8"?>
<sst xmlns="http://schemas.openxmlformats.org/spreadsheetml/2006/main" count="556" uniqueCount="193">
  <si>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</si>
  <si>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</si>
  <si>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</si>
  <si>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</si>
  <si>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</si>
  <si>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</si>
  <si>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</si>
  <si>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</si>
  <si>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</si>
  <si>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</si>
  <si>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</si>
  <si>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</si>
  <si>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</si>
  <si>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</si>
  <si>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</si>
  <si>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</si>
  <si>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</si>
  <si>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</si>
  <si>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</si>
  <si>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</si>
  <si>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</si>
  <si>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</si>
  <si>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</si>
  <si>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</si>
  <si>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</si>
  <si>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</si>
  <si>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</si>
  <si>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</si>
  <si>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</si>
  <si>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</si>
  <si>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</si>
  <si>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</si>
  <si>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</si>
  <si>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</si>
  <si>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</si>
  <si>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</si>
  <si>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</si>
  <si>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</si>
  <si>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</si>
  <si>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</si>
  <si>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</si>
  <si>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</si>
  <si>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</si>
  <si>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</si>
  <si>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</si>
  <si>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</si>
  <si>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</si>
  <si>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</si>
  <si>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</si>
  <si>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</si>
  <si>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</si>
  <si>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</si>
  <si>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</si>
  <si>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</si>
  <si>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</si>
  <si>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</si>
  <si>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</si>
  <si>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</si>
  <si>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</si>
  <si>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</si>
  <si>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</si>
  <si>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</si>
  <si>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</si>
  <si>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Индекс</t>
  </si>
  <si>
    <t>1</t>
  </si>
  <si>
    <t>4</t>
  </si>
  <si>
    <t>5</t>
  </si>
  <si>
    <t>3</t>
  </si>
  <si>
    <t>6</t>
  </si>
  <si>
    <t>7</t>
  </si>
  <si>
    <t>8</t>
  </si>
  <si>
    <t>9</t>
  </si>
  <si>
    <t>10</t>
  </si>
  <si>
    <t>11</t>
  </si>
  <si>
    <t>12</t>
  </si>
  <si>
    <t>13</t>
  </si>
  <si>
    <t>14</t>
  </si>
  <si>
    <t>15</t>
  </si>
  <si>
    <t>17</t>
  </si>
  <si>
    <t>18</t>
  </si>
  <si>
    <t>20</t>
  </si>
  <si>
    <t>21</t>
  </si>
  <si>
    <t>22</t>
  </si>
  <si>
    <t>23</t>
  </si>
  <si>
    <t>24</t>
  </si>
  <si>
    <t>25</t>
  </si>
  <si>
    <t>26</t>
  </si>
  <si>
    <t>28</t>
  </si>
  <si>
    <t>27.1</t>
  </si>
  <si>
    <t>0.03х2</t>
  </si>
  <si>
    <t>5,5,5,5,5,5</t>
  </si>
  <si>
    <t>0.4</t>
  </si>
  <si>
    <t>0.01</t>
  </si>
  <si>
    <t>0.1</t>
  </si>
  <si>
    <t>2.5</t>
  </si>
  <si>
    <t>0.08</t>
  </si>
  <si>
    <t>1.5</t>
  </si>
  <si>
    <t>0.06</t>
  </si>
  <si>
    <t>0.12</t>
  </si>
  <si>
    <t>0.5</t>
  </si>
  <si>
    <t>0.03</t>
  </si>
  <si>
    <t>0.07</t>
  </si>
  <si>
    <t>Валидация</t>
  </si>
  <si>
    <t>5,5</t>
  </si>
  <si>
    <t>4,5</t>
  </si>
  <si>
    <t>0.05</t>
  </si>
  <si>
    <t>Хорошее, плохое 2</t>
  </si>
  <si>
    <t>Разделенный номер</t>
  </si>
  <si>
    <t>Позиция номера</t>
  </si>
  <si>
    <t>Геометрия</t>
  </si>
  <si>
    <t>Размер</t>
  </si>
  <si>
    <t>POINT (3108.838205298518 1707.285109871409)</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</si>
  <si>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</si>
  <si>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</si>
  <si>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</si>
  <si>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</si>
  <si>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</si>
  <si>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</si>
  <si>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</si>
  <si>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</si>
  <si>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</si>
  <si>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</si>
  <si>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</si>
  <si>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19а</t>
  </si>
  <si>
    <t>POINT (3115.8767179014208 1710.2258575299381)</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</si>
  <si>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</si>
  <si>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</si>
  <si>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</si>
  <si>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</si>
  <si>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</si>
  <si>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</si>
  <si>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</si>
  <si>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</si>
  <si>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</si>
  <si>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</si>
  <si>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</si>
  <si>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</si>
  <si>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27.2</t>
  </si>
  <si>
    <t>27.3</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</si>
  <si>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</si>
  <si>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</si>
  <si>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</si>
  <si>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</si>
  <si>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</si>
  <si>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</si>
  <si>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(3097.9560283575443 1701.4723291555626)</t>
  </si>
  <si>
    <t>LINESTRING (3097.9560283575443 1701.4723291555626, 3106.103459418755 1713.031078844034)</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</si>
  <si>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</si>
  <si>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</si>
  <si>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</si>
  <si>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</si>
  <si>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</si>
  <si>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</si>
  <si>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Список позиций номеров</t>
  </si>
  <si>
    <t>Список геометрии</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</si>
  <si>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</si>
  <si>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</si>
  <si>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</si>
  <si>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(3108.838205298518 1707.285109871409)', 'POINT (3114.150988844972 1707.4695572873902)']</t>
  </si>
  <si>
    <t>['POINT (3115.690642463274 1707.5867820573599)']</t>
  </si>
  <si>
    <t>['POINT (3099.2754038714006 1706.814426161843)']</t>
  </si>
  <si>
    <t>['LINESTRING (3099.2754038714006 1706.814426161843, 3097.4187151780247 1709.300406547605, 3094.335886693676 1708.740184617282)']</t>
  </si>
  <si>
    <t>['POINT (3114.699609216242 1705.0905155704238)']</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</si>
  <si>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</si>
  <si>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</si>
  <si>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</si>
  <si>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(3104.043722283615 1698.543651078497)']</t>
  </si>
  <si>
    <t>['POINT (3105.090899215862 1695.9481208535972)']</t>
  </si>
  <si>
    <t>['POINT (3106.332887793542 1693.7013226121771)']</t>
  </si>
  <si>
    <t>['POINT (3107.4888707400646 1689.420932022136)']</t>
  </si>
  <si>
    <t>['POINT (3104.361115387819 1692.888423763281)']</t>
  </si>
  <si>
    <t>['POINT (3097.9560283575443 1701.4723291555626)']</t>
  </si>
  <si>
    <t>['LINESTRING (3097.9560283575443 1701.4723291555626, 3106.103459418755 1713.031078844034)']</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</si>
  <si>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</si>
  <si>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</si>
  <si>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(3111.379753263188 1713.542099550268)']</t>
  </si>
  <si>
    <t>['POINT (3115.8767179014208 1710.2258575299381)']</t>
  </si>
  <si>
    <t>Плохое</t>
  </si>
  <si>
    <t>['POINT (3115.0061404912108 1715.72499227971)', 'POINT (3113.301828595038 1716.110113041026)', 'POINT (3112.086560913637 1715.354679146507)', 'POINT (3109.758842254726 1716.964399774057)']</t>
  </si>
  <si>
    <t>['POINT (3105.0233167174188 1709.065127000339)', 'POINT (3105.0233167174188 1709.065127000339)']</t>
  </si>
  <si>
    <t>['POINT (3102.168668723462 1708.5065675452358)']</t>
  </si>
  <si>
    <t>['POINT (3102.4476191511308 1705.577447903106)']</t>
  </si>
  <si>
    <t>['POINT (3102.4476191511308 1705.577447903106)', 'POINT (3102.4476191511308 1705.577447903106)']</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</si>
  <si>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</si>
  <si>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</si>
  <si>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0.01, 0.2, 0.05</t>
  </si>
  <si>
    <t>Берёза пушистая (пень)</t>
  </si>
  <si>
    <t>Зона 1</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</si>
  <si>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</si>
  <si>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Зона 2</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</si>
  <si>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</si>
  <si>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Зона 3</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</si>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</sst>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xf numFmtId="0" fontId="0" fillId="0" borderId="0" xfId="0" applyNumberFormat="1" applyFill="1" applyBorder="1"/>
  </cellXfs>
  <cellStyles count="1">
    <cellStyle name="Обычный" xfId="0" builtinId="0"/>
  </cellStyles>
  <dxfs count="11">
    <dxf>
      <numFmt numFmtId="0" formatCode="General"/>
      <fill>
        <patternFill patternType="none">
          <fgColor indexed="64"/>
          <bgColor indexed="65"/>
        </patternFill>
      </fill>
    </dxf>
    <dxf>
      <numFmt numFmtId="30" formatCode="@"/>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numFmt numFmtId="30" formatCode="@"/>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CD270-A62B-43B1-8938-CF3CC9C5A939}" name="Таблица1" displayName="Таблица1" ref="A1:I27" totalsRowShown="0" headerRowDxfId="10" dataDxfId="9">
  <autoFilter ref="A1:I27" xr:uid="{B9FCD270-A62B-43B1-8938-CF3CC9C5A939}"/>
  <tableColumns count="9">
    <tableColumn id="1" xr3:uid="{37BD1952-0F71-48F4-9E8E-43C0DBFD883B}" name="Индекс" dataDxfId="0"/>
    <tableColumn id="2" xr3:uid="{50FF0A5D-5C9E-4448-AA20-688B27C6405F}" name="Номер точки" dataDxfId="1"/>
    <tableColumn id="3" xr3:uid="{D66D671B-2B81-4B53-8940-39C32F7A5C06}" name="Наименование" dataDxfId="8"/>
    <tableColumn id="4" xr3:uid="{66785945-271E-4F01-8772-76DFE9CEF464}" name="Количество" dataDxfId="7"/>
    <tableColumn id="5" xr3:uid="{3D9E9085-6DF7-4F2B-820F-EC4F0C70985F}" name="Высота" dataDxfId="6"/>
    <tableColumn id="6" xr3:uid="{3BF1A40E-17B7-4C88-99AD-D2F3FC75CCF0}" name="Толщина" dataDxfId="5"/>
    <tableColumn id="7" xr3:uid="{34F28C75-E4C4-4126-A0E6-C5D0F36C3951}" name="Состояние" dataDxfId="4"/>
    <tableColumn id="8" xr3:uid="{49A18B83-153E-41DE-9901-31EAA511415F}" name="Кустарник" dataDxfId="3">
      <calculatedColumnFormula>get_is_shrub(Таблица1[[#This Row],[Наименование]])</calculatedColumnFormula>
    </tableColumn>
    <tableColumn id="9" xr3:uid="{56AD1B3A-37A5-46E3-944A-1C5604436A8E}" name="Валидация" dataDxfId="2">
      <calculatedColumnFormula>check_ambiguity(Таблица1[[#This Row],[Номер точки]],Таблица1[[#This Row],[Количество]],Таблица1[[#This Row],[Высота]],Таблица1[[#This Row],[Толщина]],Таблица1[[#This Row],[Кустарник]])</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E18" sqref="E18"/>
    </sheetView>
  </sheetViews>
  <sheetFormatPr defaultRowHeight="15.75" x14ac:dyDescent="0.25"/>
  <cols>
    <col min="1" max="1" width="9.125" style="10" customWidth="1"/>
    <col min="2" max="2" width="14.125" style="10" customWidth="1"/>
    <col min="3" max="3" width="20.625" style="10" customWidth="1"/>
    <col min="4" max="4" width="12.875" style="10" customWidth="1"/>
    <col min="5" max="5" width="18.875" style="10" customWidth="1"/>
    <col min="6" max="6" width="14" style="10" customWidth="1"/>
    <col min="7" max="7" width="18.5" style="10" customWidth="1"/>
    <col min="8" max="8" width="12" customWidth="1"/>
    <col min="9" max="9" width="18.375" customWidth="1"/>
    <col min="11" max="11" width="22" customWidth="1"/>
  </cols>
  <sheetData>
    <row r="1" spans="1:12" x14ac:dyDescent="0.25">
      <c r="A1" s="11" t="s">
        <v>63</v>
      </c>
      <c r="B1" s="11" t="s">
        <v>15</v>
      </c>
      <c r="C1" s="11" t="s">
        <v>16</v>
      </c>
      <c r="D1" s="11" t="s">
        <v>17</v>
      </c>
      <c r="E1" s="11" t="s">
        <v>18</v>
      </c>
      <c r="F1" s="11" t="s">
        <v>19</v>
      </c>
      <c r="G1" s="11" t="s">
        <v>20</v>
      </c>
      <c r="H1" t="s">
        <v>62</v>
      </c>
      <c r="I1" t="s">
        <v>102</v>
      </c>
    </row>
    <row r="2" spans="1:12" s="3" customFormat="1" x14ac:dyDescent="0.25">
      <c r="A2" s="15">
        <v>1</v>
      </c>
      <c r="B2" s="12" t="s">
        <v>64</v>
      </c>
      <c r="C2" s="13" t="s">
        <v>30</v>
      </c>
      <c r="D2" s="13" t="s">
        <v>31</v>
      </c>
      <c r="E2" s="13" t="s">
        <v>64</v>
      </c>
      <c r="F2" s="13" t="s">
        <v>93</v>
      </c>
      <c r="G2" s="13" t="s">
        <v>21</v>
      </c>
      <c r="H2" s="4">
        <f>get_is_shrub(Таблица1[[#This Row],[Наименование]])</f>
        <v>0</v>
      </c>
      <c r="I2" s="4">
        <f>check_ambiguity(Таблица1[[#This Row],[Номер точки]],Таблица1[[#This Row],[Количество]],Таблица1[[#This Row],[Высота]],Таблица1[[#This Row],[Толщина]],Таблица1[[#This Row],[Кустарник]])</f>
        <v>0</v>
      </c>
      <c r="J2" s="4"/>
      <c r="K2" s="5"/>
      <c r="L2" s="5"/>
    </row>
    <row r="3" spans="1:12" s="3" customFormat="1" x14ac:dyDescent="0.25">
      <c r="A3" s="15">
        <v>2</v>
      </c>
      <c r="B3" s="12" t="s">
        <v>35</v>
      </c>
      <c r="C3" s="13" t="s">
        <v>32</v>
      </c>
      <c r="D3" s="13" t="s">
        <v>31</v>
      </c>
      <c r="E3" s="13" t="s">
        <v>94</v>
      </c>
      <c r="F3" s="13" t="s">
        <v>95</v>
      </c>
      <c r="G3" s="13" t="s">
        <v>21</v>
      </c>
      <c r="H3" s="4">
        <f>get_is_shrub(Таблица1[[#This Row],[Наименование]])</f>
        <v>0</v>
      </c>
      <c r="I3" s="4">
        <f>check_ambiguity(Таблица1[[#This Row],[Номер точки]],Таблица1[[#This Row],[Количество]],Таблица1[[#This Row],[Высота]],Таблица1[[#This Row],[Толщина]],Таблица1[[#This Row],[Кустарник]])</f>
        <v>0</v>
      </c>
      <c r="J3" s="4"/>
      <c r="K3" s="5"/>
      <c r="L3" s="5"/>
    </row>
    <row r="4" spans="1:12" s="3" customFormat="1" x14ac:dyDescent="0.25">
      <c r="A4" s="15">
        <v>3</v>
      </c>
      <c r="B4" s="12" t="s">
        <v>33</v>
      </c>
      <c r="C4" s="13" t="s">
        <v>34</v>
      </c>
      <c r="D4" s="13" t="s">
        <v>35</v>
      </c>
      <c r="E4" s="13" t="s">
        <v>103</v>
      </c>
      <c r="F4" s="13" t="s">
        <v>104</v>
      </c>
      <c r="G4" s="13" t="s">
        <v>21</v>
      </c>
      <c r="H4" s="4">
        <f>get_is_shrub(Таблица1[[#This Row],[Наименование]])</f>
        <v>0</v>
      </c>
      <c r="I4" s="4">
        <f>check_ambiguity(Таблица1[[#This Row],[Номер точки]],Таблица1[[#This Row],[Количество]],Таблица1[[#This Row],[Высота]],Таблица1[[#This Row],[Толщина]],Таблица1[[#This Row],[Кустарник]])</f>
        <v>0</v>
      </c>
      <c r="J4" s="4"/>
      <c r="K4" s="5"/>
      <c r="L4" s="5"/>
    </row>
    <row r="5" spans="1:12" s="3" customFormat="1" x14ac:dyDescent="0.25">
      <c r="A5" s="15">
        <v>4</v>
      </c>
      <c r="B5" s="12" t="s">
        <v>66</v>
      </c>
      <c r="C5" s="13" t="s">
        <v>30</v>
      </c>
      <c r="D5" s="13" t="s">
        <v>27</v>
      </c>
      <c r="E5" s="13" t="s">
        <v>36</v>
      </c>
      <c r="F5" s="13" t="s">
        <v>90</v>
      </c>
      <c r="G5" s="13" t="s">
        <v>21</v>
      </c>
      <c r="H5" s="4">
        <f>get_is_shrub(Таблица1[[#This Row],[Наименование]])</f>
        <v>0</v>
      </c>
      <c r="I5" s="4">
        <f>check_ambiguity(Таблица1[[#This Row],[Номер точки]],Таблица1[[#This Row],[Количество]],Таблица1[[#This Row],[Высота]],Таблица1[[#This Row],[Толщина]],Таблица1[[#This Row],[Кустарник]])</f>
        <v>0</v>
      </c>
      <c r="J5" s="4"/>
      <c r="K5" s="5"/>
      <c r="L5" s="5"/>
    </row>
    <row r="6" spans="1:12" x14ac:dyDescent="0.25">
      <c r="A6" s="15">
        <v>5</v>
      </c>
      <c r="B6" s="12" t="s">
        <v>68</v>
      </c>
      <c r="C6" s="13" t="s">
        <v>38</v>
      </c>
      <c r="D6" s="13" t="s">
        <v>39</v>
      </c>
      <c r="E6" s="13" t="s">
        <v>60</v>
      </c>
      <c r="F6" s="13" t="s">
        <v>61</v>
      </c>
      <c r="G6" s="13" t="s">
        <v>21</v>
      </c>
      <c r="H6" s="4">
        <f>get_is_shrub(Таблица1[[#This Row],[Наименование]])</f>
        <v>0</v>
      </c>
      <c r="I6" s="4">
        <f>check_ambiguity(Таблица1[[#This Row],[Номер точки]],Таблица1[[#This Row],[Количество]],Таблица1[[#This Row],[Высота]],Таблица1[[#This Row],[Толщина]],Таблица1[[#This Row],[Кустарник]])</f>
        <v>0</v>
      </c>
      <c r="J6" s="4"/>
      <c r="K6" s="5"/>
      <c r="L6" s="5"/>
    </row>
    <row r="7" spans="1:12" x14ac:dyDescent="0.25">
      <c r="A7" s="15">
        <v>6</v>
      </c>
      <c r="B7" s="12" t="s">
        <v>69</v>
      </c>
      <c r="C7" s="13" t="s">
        <v>30</v>
      </c>
      <c r="D7" s="13" t="s">
        <v>64</v>
      </c>
      <c r="E7" s="13" t="s">
        <v>94</v>
      </c>
      <c r="F7" s="13" t="s">
        <v>105</v>
      </c>
      <c r="G7" s="13" t="s">
        <v>21</v>
      </c>
      <c r="H7" s="4">
        <f>get_is_shrub(Таблица1[[#This Row],[Наименование]])</f>
        <v>0</v>
      </c>
      <c r="I7" s="4">
        <f>check_ambiguity(Таблица1[[#This Row],[Номер точки]],Таблица1[[#This Row],[Количество]],Таблица1[[#This Row],[Высота]],Таблица1[[#This Row],[Толщина]],Таблица1[[#This Row],[Кустарник]])</f>
        <v>0</v>
      </c>
      <c r="J7" s="4"/>
      <c r="K7" s="5"/>
      <c r="L7" s="5"/>
    </row>
    <row r="8" spans="1:12" x14ac:dyDescent="0.25">
      <c r="A8" s="15">
        <v>7</v>
      </c>
      <c r="B8" s="12" t="s">
        <v>70</v>
      </c>
      <c r="C8" s="13" t="s">
        <v>30</v>
      </c>
      <c r="D8" s="13" t="s">
        <v>40</v>
      </c>
      <c r="E8" s="13" t="s">
        <v>96</v>
      </c>
      <c r="F8" s="13" t="s">
        <v>105</v>
      </c>
      <c r="G8" s="13" t="s">
        <v>21</v>
      </c>
      <c r="H8" s="4">
        <f>get_is_shrub(Таблица1[[#This Row],[Наименование]])</f>
        <v>0</v>
      </c>
      <c r="I8" s="4">
        <f>check_ambiguity(Таблица1[[#This Row],[Номер точки]],Таблица1[[#This Row],[Количество]],Таблица1[[#This Row],[Высота]],Таблица1[[#This Row],[Толщина]],Таблица1[[#This Row],[Кустарник]])</f>
        <v>0</v>
      </c>
      <c r="J8" s="4"/>
      <c r="K8" s="5"/>
      <c r="L8" s="5"/>
    </row>
    <row r="9" spans="1:12" x14ac:dyDescent="0.25">
      <c r="A9" s="15">
        <v>8</v>
      </c>
      <c r="B9" s="12" t="s">
        <v>71</v>
      </c>
      <c r="C9" s="13" t="s">
        <v>32</v>
      </c>
      <c r="D9" s="13" t="s">
        <v>40</v>
      </c>
      <c r="E9" s="13" t="s">
        <v>35</v>
      </c>
      <c r="F9" s="13" t="s">
        <v>97</v>
      </c>
      <c r="G9" s="13" t="s">
        <v>21</v>
      </c>
      <c r="H9" s="4">
        <f>get_is_shrub(Таблица1[[#This Row],[Наименование]])</f>
        <v>0</v>
      </c>
      <c r="I9" s="4">
        <f>check_ambiguity(Таблица1[[#This Row],[Номер точки]],Таблица1[[#This Row],[Количество]],Таблица1[[#This Row],[Высота]],Таблица1[[#This Row],[Толщина]],Таблица1[[#This Row],[Кустарник]])</f>
        <v>0</v>
      </c>
      <c r="J9" s="4"/>
      <c r="K9" s="5"/>
      <c r="L9" s="5"/>
    </row>
    <row r="10" spans="1:12" x14ac:dyDescent="0.25">
      <c r="A10" s="15">
        <v>9</v>
      </c>
      <c r="B10" s="12" t="s">
        <v>72</v>
      </c>
      <c r="C10" s="13" t="s">
        <v>41</v>
      </c>
      <c r="D10" s="13" t="s">
        <v>23</v>
      </c>
      <c r="E10" s="13" t="s">
        <v>44</v>
      </c>
      <c r="F10" s="13" t="s">
        <v>59</v>
      </c>
      <c r="G10" s="13" t="s">
        <v>21</v>
      </c>
      <c r="H10" s="4">
        <f>get_is_shrub(Таблица1[[#This Row],[Наименование]])</f>
        <v>0</v>
      </c>
      <c r="I10" s="4">
        <f>check_ambiguity(Таблица1[[#This Row],[Номер точки]],Таблица1[[#This Row],[Количество]],Таблица1[[#This Row],[Высота]],Таблица1[[#This Row],[Толщина]],Таблица1[[#This Row],[Кустарник]])</f>
        <v>0</v>
      </c>
      <c r="J10" s="4"/>
      <c r="K10" s="5"/>
      <c r="L10" s="5"/>
    </row>
    <row r="11" spans="1:12" x14ac:dyDescent="0.25">
      <c r="A11" s="15">
        <v>10</v>
      </c>
      <c r="B11" s="12" t="s">
        <v>73</v>
      </c>
      <c r="C11" s="13" t="s">
        <v>41</v>
      </c>
      <c r="D11" s="13" t="s">
        <v>65</v>
      </c>
      <c r="E11" s="13" t="s">
        <v>42</v>
      </c>
      <c r="F11" s="13" t="s">
        <v>43</v>
      </c>
      <c r="G11" s="13" t="s">
        <v>21</v>
      </c>
      <c r="H11" s="4">
        <f>get_is_shrub(Таблица1[[#This Row],[Наименование]])</f>
        <v>0</v>
      </c>
      <c r="I11" s="4">
        <f>check_ambiguity(Таблица1[[#This Row],[Номер точки]],Таблица1[[#This Row],[Количество]],Таблица1[[#This Row],[Высота]],Таблица1[[#This Row],[Толщина]],Таблица1[[#This Row],[Кустарник]])</f>
        <v>0</v>
      </c>
      <c r="J11" s="4"/>
      <c r="K11" s="5"/>
      <c r="L11" s="5"/>
    </row>
    <row r="12" spans="1:12" x14ac:dyDescent="0.25">
      <c r="A12" s="15">
        <v>11</v>
      </c>
      <c r="B12" s="12" t="s">
        <v>74</v>
      </c>
      <c r="C12" s="13" t="s">
        <v>41</v>
      </c>
      <c r="D12" s="13" t="s">
        <v>67</v>
      </c>
      <c r="E12" s="13" t="s">
        <v>57</v>
      </c>
      <c r="F12" s="13" t="s">
        <v>58</v>
      </c>
      <c r="G12" s="13" t="s">
        <v>21</v>
      </c>
      <c r="H12" s="4">
        <f>get_is_shrub(Таблица1[[#This Row],[Наименование]])</f>
        <v>0</v>
      </c>
      <c r="I12" s="5">
        <f>check_ambiguity(Таблица1[[#This Row],[Номер точки]],Таблица1[[#This Row],[Количество]],Таблица1[[#This Row],[Высота]],Таблица1[[#This Row],[Толщина]],Таблица1[[#This Row],[Кустарник]])</f>
        <v>0</v>
      </c>
      <c r="J12" s="5"/>
      <c r="K12" s="5"/>
      <c r="L12" s="5"/>
    </row>
    <row r="13" spans="1:12" x14ac:dyDescent="0.25">
      <c r="A13" s="15">
        <v>12</v>
      </c>
      <c r="B13" s="12" t="s">
        <v>75</v>
      </c>
      <c r="C13" s="13" t="s">
        <v>41</v>
      </c>
      <c r="D13" s="13" t="s">
        <v>23</v>
      </c>
      <c r="E13" s="13" t="s">
        <v>44</v>
      </c>
      <c r="F13" s="13" t="s">
        <v>59</v>
      </c>
      <c r="G13" s="13" t="s">
        <v>28</v>
      </c>
      <c r="H13" s="4">
        <f>get_is_shrub(Таблица1[[#This Row],[Наименование]])</f>
        <v>0</v>
      </c>
      <c r="I13" s="4">
        <f>check_ambiguity(Таблица1[[#This Row],[Номер точки]],Таблица1[[#This Row],[Количество]],Таблица1[[#This Row],[Высота]],Таблица1[[#This Row],[Толщина]],Таблица1[[#This Row],[Кустарник]])</f>
        <v>0</v>
      </c>
      <c r="J13" s="4"/>
      <c r="K13" s="5"/>
      <c r="L13" s="5"/>
    </row>
    <row r="14" spans="1:12" x14ac:dyDescent="0.25">
      <c r="A14" s="15">
        <v>13</v>
      </c>
      <c r="B14" s="12" t="s">
        <v>76</v>
      </c>
      <c r="C14" s="13" t="s">
        <v>41</v>
      </c>
      <c r="D14" s="13" t="s">
        <v>35</v>
      </c>
      <c r="E14" s="13" t="s">
        <v>44</v>
      </c>
      <c r="F14" s="13" t="s">
        <v>89</v>
      </c>
      <c r="G14" s="13" t="s">
        <v>21</v>
      </c>
      <c r="H14" s="4">
        <f>get_is_shrub(Таблица1[[#This Row],[Наименование]])</f>
        <v>0</v>
      </c>
      <c r="I14" s="4">
        <f>check_ambiguity(Таблица1[[#This Row],[Номер точки]],Таблица1[[#This Row],[Количество]],Таблица1[[#This Row],[Высота]],Таблица1[[#This Row],[Толщина]],Таблица1[[#This Row],[Кустарник]])</f>
        <v>0</v>
      </c>
      <c r="J14" s="4"/>
      <c r="K14" s="5"/>
      <c r="L14" s="5"/>
    </row>
    <row r="15" spans="1:12" x14ac:dyDescent="0.25">
      <c r="A15" s="15">
        <v>14</v>
      </c>
      <c r="B15" s="12" t="s">
        <v>77</v>
      </c>
      <c r="C15" s="13" t="s">
        <v>29</v>
      </c>
      <c r="D15" s="13" t="s">
        <v>45</v>
      </c>
      <c r="E15" s="13" t="s">
        <v>35</v>
      </c>
      <c r="F15" s="13" t="s">
        <v>101</v>
      </c>
      <c r="G15" s="13" t="s">
        <v>21</v>
      </c>
      <c r="H15" s="4">
        <f>get_is_shrub(Таблица1[[#This Row],[Наименование]])</f>
        <v>0</v>
      </c>
      <c r="I15" s="4">
        <f>check_ambiguity(Таблица1[[#This Row],[Номер точки]],Таблица1[[#This Row],[Количество]],Таблица1[[#This Row],[Высота]],Таблица1[[#This Row],[Толщина]],Таблица1[[#This Row],[Кустарник]])</f>
        <v>0</v>
      </c>
      <c r="J15" s="4"/>
      <c r="K15" s="5"/>
      <c r="L15" s="5"/>
    </row>
    <row r="16" spans="1:12" x14ac:dyDescent="0.25">
      <c r="A16" s="15">
        <v>15</v>
      </c>
      <c r="B16" s="12" t="s">
        <v>37</v>
      </c>
      <c r="C16" s="13" t="s">
        <v>29</v>
      </c>
      <c r="D16" s="13" t="s">
        <v>46</v>
      </c>
      <c r="E16" s="13" t="s">
        <v>67</v>
      </c>
      <c r="F16" s="13" t="s">
        <v>98</v>
      </c>
      <c r="G16" s="13" t="s">
        <v>21</v>
      </c>
      <c r="H16" s="4">
        <f>get_is_shrub(Таблица1[[#This Row],[Наименование]])</f>
        <v>0</v>
      </c>
      <c r="I16" s="4">
        <f>check_ambiguity(Таблица1[[#This Row],[Номер точки]],Таблица1[[#This Row],[Количество]],Таблица1[[#This Row],[Высота]],Таблица1[[#This Row],[Толщина]],Таблица1[[#This Row],[Кустарник]])</f>
        <v>0</v>
      </c>
      <c r="J16" s="4"/>
      <c r="K16" s="5"/>
      <c r="L16" s="5"/>
    </row>
    <row r="17" spans="1:12" x14ac:dyDescent="0.25">
      <c r="A17" s="15">
        <v>16</v>
      </c>
      <c r="B17" s="12" t="s">
        <v>78</v>
      </c>
      <c r="C17" s="13" t="s">
        <v>24</v>
      </c>
      <c r="D17" s="13" t="s">
        <v>47</v>
      </c>
      <c r="E17" s="13" t="s">
        <v>99</v>
      </c>
      <c r="F17" s="13" t="s">
        <v>22</v>
      </c>
      <c r="G17" s="13" t="s">
        <v>21</v>
      </c>
      <c r="H17" s="4">
        <f>get_is_shrub(Таблица1[[#This Row],[Наименование]])</f>
        <v>1</v>
      </c>
      <c r="I17" s="4">
        <f>check_ambiguity(Таблица1[[#This Row],[Номер точки]],Таблица1[[#This Row],[Количество]],Таблица1[[#This Row],[Высота]],Таблица1[[#This Row],[Толщина]],Таблица1[[#This Row],[Кустарник]])</f>
        <v>0</v>
      </c>
      <c r="J17" s="4"/>
      <c r="K17" s="5"/>
      <c r="L17" s="5"/>
    </row>
    <row r="18" spans="1:12" x14ac:dyDescent="0.25">
      <c r="A18" s="15">
        <v>17</v>
      </c>
      <c r="B18" s="12" t="s">
        <v>79</v>
      </c>
      <c r="C18" s="13" t="s">
        <v>24</v>
      </c>
      <c r="D18" s="13" t="s">
        <v>64</v>
      </c>
      <c r="E18" s="13" t="s">
        <v>99</v>
      </c>
      <c r="F18" s="13" t="s">
        <v>22</v>
      </c>
      <c r="G18" s="13" t="s">
        <v>21</v>
      </c>
      <c r="H18" s="4">
        <f>get_is_shrub(Таблица1[[#This Row],[Наименование]])</f>
        <v>1</v>
      </c>
      <c r="I18" s="4">
        <f>check_ambiguity(Таблица1[[#This Row],[Номер точки]],Таблица1[[#This Row],[Количество]],Таблица1[[#This Row],[Высота]],Таблица1[[#This Row],[Толщина]],Таблица1[[#This Row],[Кустарник]])</f>
        <v>0</v>
      </c>
      <c r="J18" s="4"/>
      <c r="K18" s="5"/>
      <c r="L18" s="5"/>
    </row>
    <row r="19" spans="1:12" x14ac:dyDescent="0.25">
      <c r="A19" s="15">
        <v>18</v>
      </c>
      <c r="B19" s="12" t="s">
        <v>48</v>
      </c>
      <c r="C19" s="13" t="s">
        <v>49</v>
      </c>
      <c r="D19" s="13" t="s">
        <v>67</v>
      </c>
      <c r="E19" s="13" t="s">
        <v>91</v>
      </c>
      <c r="F19" s="13" t="s">
        <v>185</v>
      </c>
      <c r="G19" s="13" t="s">
        <v>106</v>
      </c>
      <c r="H19" s="4">
        <f>get_is_shrub(Таблица1[[#This Row],[Наименование]])</f>
        <v>0</v>
      </c>
      <c r="I19" s="4">
        <f>check_ambiguity(Таблица1[[#This Row],[Номер точки]],Таблица1[[#This Row],[Количество]],Таблица1[[#This Row],[Высота]],Таблица1[[#This Row],[Толщина]],Таблица1[[#This Row],[Кустарник]])</f>
        <v>0</v>
      </c>
      <c r="J19" s="4"/>
      <c r="K19" s="5"/>
      <c r="L19" s="5"/>
    </row>
    <row r="20" spans="1:12" x14ac:dyDescent="0.25">
      <c r="A20" s="15">
        <v>19</v>
      </c>
      <c r="B20" s="12" t="s">
        <v>50</v>
      </c>
      <c r="C20" s="13" t="s">
        <v>49</v>
      </c>
      <c r="D20" s="13" t="s">
        <v>64</v>
      </c>
      <c r="E20" s="13" t="s">
        <v>91</v>
      </c>
      <c r="F20" s="13" t="s">
        <v>92</v>
      </c>
      <c r="G20" s="13" t="s">
        <v>21</v>
      </c>
      <c r="H20" s="4">
        <f>get_is_shrub(Таблица1[[#This Row],[Наименование]])</f>
        <v>0</v>
      </c>
      <c r="I20" s="4">
        <f>check_ambiguity(Таблица1[[#This Row],[Номер точки]],Таблица1[[#This Row],[Количество]],Таблица1[[#This Row],[Высота]],Таблица1[[#This Row],[Толщина]],Таблица1[[#This Row],[Кустарник]])</f>
        <v>0</v>
      </c>
      <c r="J20" s="4"/>
      <c r="K20" s="5"/>
      <c r="L20" s="5"/>
    </row>
    <row r="21" spans="1:12" x14ac:dyDescent="0.25">
      <c r="A21" s="15">
        <v>20</v>
      </c>
      <c r="B21" s="12" t="s">
        <v>51</v>
      </c>
      <c r="C21" s="13" t="s">
        <v>34</v>
      </c>
      <c r="D21" s="13" t="s">
        <v>65</v>
      </c>
      <c r="E21" s="13" t="s">
        <v>26</v>
      </c>
      <c r="F21" s="13" t="s">
        <v>52</v>
      </c>
      <c r="G21" s="13" t="s">
        <v>21</v>
      </c>
      <c r="H21" s="4">
        <f>get_is_shrub(Таблица1[[#This Row],[Наименование]])</f>
        <v>0</v>
      </c>
      <c r="I21" s="4">
        <f>check_ambiguity(Таблица1[[#This Row],[Номер точки]],Таблица1[[#This Row],[Количество]],Таблица1[[#This Row],[Высота]],Таблица1[[#This Row],[Толщина]],Таблица1[[#This Row],[Кустарник]])</f>
        <v>0</v>
      </c>
      <c r="J21" s="4"/>
      <c r="K21" s="5"/>
      <c r="L21" s="5"/>
    </row>
    <row r="22" spans="1:12" x14ac:dyDescent="0.25">
      <c r="A22" s="15">
        <v>21</v>
      </c>
      <c r="B22" s="12" t="s">
        <v>53</v>
      </c>
      <c r="C22" s="13" t="s">
        <v>49</v>
      </c>
      <c r="D22" s="13" t="s">
        <v>35</v>
      </c>
      <c r="E22" s="13" t="s">
        <v>91</v>
      </c>
      <c r="F22" s="13" t="s">
        <v>92</v>
      </c>
      <c r="G22" s="13" t="s">
        <v>21</v>
      </c>
      <c r="H22" s="4">
        <f>get_is_shrub(Таблица1[[#This Row],[Наименование]])</f>
        <v>0</v>
      </c>
      <c r="I22" s="4">
        <f>check_ambiguity(Таблица1[[#This Row],[Номер точки]],Таблица1[[#This Row],[Количество]],Таблица1[[#This Row],[Высота]],Таблица1[[#This Row],[Толщина]],Таблица1[[#This Row],[Кустарник]])</f>
        <v>0</v>
      </c>
      <c r="J22" s="4"/>
      <c r="K22" s="5"/>
      <c r="L22" s="5"/>
    </row>
    <row r="23" spans="1:12" x14ac:dyDescent="0.25">
      <c r="A23" s="15">
        <v>22</v>
      </c>
      <c r="B23" s="12" t="s">
        <v>86</v>
      </c>
      <c r="C23" s="13" t="s">
        <v>49</v>
      </c>
      <c r="D23" s="13" t="s">
        <v>67</v>
      </c>
      <c r="E23" s="13" t="s">
        <v>91</v>
      </c>
      <c r="F23" s="13" t="s">
        <v>92</v>
      </c>
      <c r="G23" s="13" t="s">
        <v>21</v>
      </c>
      <c r="H23" s="4">
        <f>get_is_shrub(Таблица1[[#This Row],[Наименование]])</f>
        <v>0</v>
      </c>
      <c r="I23" s="4">
        <f>check_ambiguity(Таблица1[[#This Row],[Номер точки]],Таблица1[[#This Row],[Количество]],Таблица1[[#This Row],[Высота]],Таблица1[[#This Row],[Толщина]],Таблица1[[#This Row],[Кустарник]])</f>
        <v>0</v>
      </c>
      <c r="J23" s="4"/>
      <c r="K23" s="5"/>
      <c r="L23" s="5"/>
    </row>
    <row r="24" spans="1:12" x14ac:dyDescent="0.25">
      <c r="A24" s="15">
        <v>23</v>
      </c>
      <c r="B24" s="12" t="s">
        <v>54</v>
      </c>
      <c r="C24" s="13" t="s">
        <v>49</v>
      </c>
      <c r="D24" s="13" t="s">
        <v>25</v>
      </c>
      <c r="E24" s="13" t="s">
        <v>57</v>
      </c>
      <c r="F24" s="13" t="s">
        <v>58</v>
      </c>
      <c r="G24" s="13" t="s">
        <v>21</v>
      </c>
      <c r="H24" s="4">
        <f>get_is_shrub(Таблица1[[#This Row],[Наименование]])</f>
        <v>0</v>
      </c>
      <c r="I24" s="4">
        <f>check_ambiguity(Таблица1[[#This Row],[Номер точки]],Таблица1[[#This Row],[Количество]],Таблица1[[#This Row],[Высота]],Таблица1[[#This Row],[Толщина]],Таблица1[[#This Row],[Кустарник]])</f>
        <v>0</v>
      </c>
      <c r="J24" s="4"/>
      <c r="K24" s="5"/>
      <c r="L24" s="5"/>
    </row>
    <row r="25" spans="1:12" x14ac:dyDescent="0.25">
      <c r="A25" s="15">
        <v>24</v>
      </c>
      <c r="B25" s="12" t="s">
        <v>88</v>
      </c>
      <c r="C25" s="13" t="s">
        <v>49</v>
      </c>
      <c r="D25" s="13" t="s">
        <v>25</v>
      </c>
      <c r="E25" s="13" t="s">
        <v>57</v>
      </c>
      <c r="F25" s="13" t="s">
        <v>58</v>
      </c>
      <c r="G25" s="13" t="s">
        <v>21</v>
      </c>
      <c r="H25" s="4">
        <f>get_is_shrub(Таблица1[[#This Row],[Наименование]])</f>
        <v>0</v>
      </c>
      <c r="I25" s="4">
        <f>check_ambiguity(Таблица1[[#This Row],[Номер точки]],Таблица1[[#This Row],[Количество]],Таблица1[[#This Row],[Высота]],Таблица1[[#This Row],[Толщина]],Таблица1[[#This Row],[Кустарник]])</f>
        <v>0</v>
      </c>
      <c r="J25" s="4"/>
      <c r="K25" s="5"/>
      <c r="L25" s="5"/>
    </row>
    <row r="26" spans="1:12" x14ac:dyDescent="0.25">
      <c r="A26" s="15">
        <v>25</v>
      </c>
      <c r="B26" s="10" t="s">
        <v>55</v>
      </c>
      <c r="C26" s="10" t="s">
        <v>49</v>
      </c>
      <c r="D26" s="10" t="s">
        <v>35</v>
      </c>
      <c r="E26" s="10" t="s">
        <v>91</v>
      </c>
      <c r="F26" s="10" t="s">
        <v>92</v>
      </c>
      <c r="G26" s="10" t="s">
        <v>21</v>
      </c>
      <c r="H26" s="4">
        <f>get_is_shrub(Таблица1[[#This Row],[Наименование]])</f>
        <v>0</v>
      </c>
      <c r="I26" s="14">
        <f>check_ambiguity(Таблица1[[#This Row],[Номер точки]],Таблица1[[#This Row],[Количество]],Таблица1[[#This Row],[Высота]],Таблица1[[#This Row],[Толщина]],Таблица1[[#This Row],[Кустарник]])</f>
        <v>0</v>
      </c>
      <c r="J26" s="14"/>
      <c r="L26" s="5"/>
    </row>
    <row r="27" spans="1:12" x14ac:dyDescent="0.25">
      <c r="A27" s="15">
        <v>26</v>
      </c>
      <c r="B27" s="10" t="s">
        <v>87</v>
      </c>
      <c r="C27" s="10" t="s">
        <v>49</v>
      </c>
      <c r="D27" s="10" t="s">
        <v>56</v>
      </c>
      <c r="E27" s="10" t="s">
        <v>96</v>
      </c>
      <c r="F27" s="10" t="s">
        <v>100</v>
      </c>
      <c r="G27" s="10" t="s">
        <v>21</v>
      </c>
      <c r="H27">
        <f>get_is_shrub(Таблица1[[#This Row],[Наименование]])</f>
        <v>0</v>
      </c>
      <c r="I27">
        <f>check_ambiguity(Таблица1[[#This Row],[Номер точки]],Таблица1[[#This Row],[Количество]],Таблица1[[#This Row],[Высота]],Таблица1[[#This Row],[Толщина]],Таблица1[[#This Row],[Кустарник]])</f>
        <v>0</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F37"/>
  <sheetViews>
    <sheetView workbookViewId="0">
      <selection activeCell="K17" sqref="K17"/>
    </sheetView>
  </sheetViews>
  <sheetFormatPr defaultRowHeight="15.75" x14ac:dyDescent="0.25"/>
  <cols>
    <col min="1" max="1" width="7.25" style="8" customWidth="1"/>
    <col min="2" max="2" width="12.375" style="8" customWidth="1"/>
    <col min="3" max="3" width="7.625" style="8" customWidth="1"/>
    <col min="4" max="4" width="17.25" style="8" customWidth="1"/>
    <col min="5" max="5" width="12.25" style="6" customWidth="1"/>
    <col min="6" max="6" width="12.375" style="6" customWidth="1"/>
    <col min="7" max="7" width="10.375" style="6" customWidth="1"/>
    <col min="8" max="16384" width="9" style="6"/>
  </cols>
  <sheetData>
    <row r="1" spans="1:6" ht="18" customHeight="1" x14ac:dyDescent="0.25">
      <c r="A1" s="8" t="s">
        <v>63</v>
      </c>
      <c r="B1" s="8" t="s">
        <v>15</v>
      </c>
      <c r="C1" s="8" t="s">
        <v>107</v>
      </c>
      <c r="D1" s="8" t="s">
        <v>108</v>
      </c>
      <c r="E1" s="6" t="s">
        <v>109</v>
      </c>
      <c r="F1" s="6" t="s">
        <v>110</v>
      </c>
    </row>
    <row r="2" spans="1:6" x14ac:dyDescent="0.25">
      <c r="A2" s="9">
        <v>0</v>
      </c>
      <c r="B2" s="9" t="s">
        <v>67</v>
      </c>
      <c r="C2" s="9" t="s">
        <v>67</v>
      </c>
      <c r="D2" s="9" t="s">
        <v>111</v>
      </c>
      <c r="E2" s="6" t="s">
        <v>111</v>
      </c>
    </row>
    <row r="3" spans="1:6" x14ac:dyDescent="0.25">
      <c r="A3" s="9">
        <v>1</v>
      </c>
      <c r="B3" s="9" t="s">
        <v>65</v>
      </c>
      <c r="C3" s="9" t="s">
        <v>65</v>
      </c>
      <c r="D3" s="9" t="s">
        <v>112</v>
      </c>
      <c r="E3" s="6" t="s">
        <v>112</v>
      </c>
    </row>
    <row r="4" spans="1:6" x14ac:dyDescent="0.25">
      <c r="A4" s="9">
        <v>2</v>
      </c>
      <c r="B4" s="9" t="s">
        <v>66</v>
      </c>
      <c r="C4" s="9" t="s">
        <v>66</v>
      </c>
      <c r="D4" s="9" t="s">
        <v>113</v>
      </c>
      <c r="E4" s="7" t="s">
        <v>113</v>
      </c>
    </row>
    <row r="5" spans="1:6" x14ac:dyDescent="0.25">
      <c r="A5" s="9">
        <v>3</v>
      </c>
      <c r="B5" s="9" t="s">
        <v>68</v>
      </c>
      <c r="C5" s="9" t="s">
        <v>68</v>
      </c>
      <c r="D5" s="9" t="s">
        <v>114</v>
      </c>
      <c r="E5" s="7" t="s">
        <v>114</v>
      </c>
    </row>
    <row r="6" spans="1:6" x14ac:dyDescent="0.25">
      <c r="A6" s="9">
        <v>4</v>
      </c>
      <c r="B6" s="9" t="s">
        <v>69</v>
      </c>
      <c r="C6" s="9" t="s">
        <v>69</v>
      </c>
      <c r="D6" s="9" t="s">
        <v>115</v>
      </c>
      <c r="E6" s="7" t="s">
        <v>115</v>
      </c>
    </row>
    <row r="7" spans="1:6" x14ac:dyDescent="0.25">
      <c r="A7" s="9">
        <v>5</v>
      </c>
      <c r="B7" s="9" t="s">
        <v>72</v>
      </c>
      <c r="C7" s="9" t="s">
        <v>72</v>
      </c>
      <c r="D7" s="9" t="s">
        <v>116</v>
      </c>
      <c r="E7" s="7" t="s">
        <v>116</v>
      </c>
    </row>
    <row r="8" spans="1:6" x14ac:dyDescent="0.25">
      <c r="A8" s="9">
        <v>6</v>
      </c>
      <c r="B8" s="9" t="s">
        <v>73</v>
      </c>
      <c r="C8" s="9" t="s">
        <v>73</v>
      </c>
      <c r="D8" s="9" t="s">
        <v>117</v>
      </c>
      <c r="E8" s="7" t="s">
        <v>117</v>
      </c>
    </row>
    <row r="9" spans="1:6" x14ac:dyDescent="0.25">
      <c r="A9" s="9">
        <v>7</v>
      </c>
      <c r="B9" s="9" t="s">
        <v>74</v>
      </c>
      <c r="C9" s="9" t="s">
        <v>74</v>
      </c>
      <c r="D9" s="9" t="s">
        <v>118</v>
      </c>
      <c r="E9" s="7" t="s">
        <v>118</v>
      </c>
    </row>
    <row r="10" spans="1:6" x14ac:dyDescent="0.25">
      <c r="A10" s="9">
        <v>8</v>
      </c>
      <c r="B10" s="9" t="s">
        <v>76</v>
      </c>
      <c r="C10" s="9" t="s">
        <v>76</v>
      </c>
      <c r="D10" s="9" t="s">
        <v>119</v>
      </c>
      <c r="E10" s="7" t="s">
        <v>119</v>
      </c>
    </row>
    <row r="11" spans="1:6" x14ac:dyDescent="0.25">
      <c r="A11" s="9">
        <v>9</v>
      </c>
      <c r="B11" s="9" t="s">
        <v>75</v>
      </c>
      <c r="C11" s="9" t="s">
        <v>75</v>
      </c>
      <c r="D11" s="9" t="s">
        <v>120</v>
      </c>
      <c r="E11" s="7" t="s">
        <v>120</v>
      </c>
    </row>
    <row r="12" spans="1:6" x14ac:dyDescent="0.25">
      <c r="A12" s="9">
        <v>10</v>
      </c>
      <c r="B12" s="9" t="s">
        <v>79</v>
      </c>
      <c r="C12" s="9" t="s">
        <v>79</v>
      </c>
      <c r="D12" s="9" t="s">
        <v>121</v>
      </c>
      <c r="E12" s="7" t="s">
        <v>121</v>
      </c>
    </row>
    <row r="13" spans="1:6" x14ac:dyDescent="0.25">
      <c r="A13" s="9">
        <v>11</v>
      </c>
      <c r="B13" s="9" t="s">
        <v>122</v>
      </c>
      <c r="C13" s="9" t="s">
        <v>123</v>
      </c>
      <c r="D13" s="9" t="s">
        <v>124</v>
      </c>
      <c r="E13" s="7" t="s">
        <v>124</v>
      </c>
    </row>
    <row r="14" spans="1:6" x14ac:dyDescent="0.25">
      <c r="A14" s="9">
        <v>12</v>
      </c>
      <c r="B14" s="9" t="s">
        <v>122</v>
      </c>
      <c r="C14" s="9" t="s">
        <v>125</v>
      </c>
      <c r="D14" s="9" t="s">
        <v>124</v>
      </c>
      <c r="E14" s="7" t="s">
        <v>124</v>
      </c>
    </row>
    <row r="15" spans="1:6" x14ac:dyDescent="0.25">
      <c r="A15" s="9">
        <v>13</v>
      </c>
      <c r="B15" s="9" t="s">
        <v>122</v>
      </c>
      <c r="C15" s="9" t="s">
        <v>126</v>
      </c>
      <c r="D15" s="9" t="s">
        <v>124</v>
      </c>
      <c r="E15" s="7" t="s">
        <v>124</v>
      </c>
    </row>
    <row r="16" spans="1:6" x14ac:dyDescent="0.25">
      <c r="A16" s="9">
        <v>14</v>
      </c>
      <c r="B16" s="9" t="s">
        <v>122</v>
      </c>
      <c r="C16" s="9" t="s">
        <v>127</v>
      </c>
      <c r="D16" s="9" t="s">
        <v>124</v>
      </c>
      <c r="E16" s="7" t="s">
        <v>124</v>
      </c>
    </row>
    <row r="17" spans="1:6" x14ac:dyDescent="0.25">
      <c r="A17" s="9">
        <v>15</v>
      </c>
      <c r="B17" s="9" t="s">
        <v>80</v>
      </c>
      <c r="C17" s="9" t="s">
        <v>80</v>
      </c>
      <c r="D17" s="9" t="s">
        <v>128</v>
      </c>
      <c r="E17" s="7" t="s">
        <v>128</v>
      </c>
    </row>
    <row r="18" spans="1:6" x14ac:dyDescent="0.25">
      <c r="A18" s="9">
        <v>16</v>
      </c>
      <c r="B18" s="9" t="s">
        <v>81</v>
      </c>
      <c r="C18" s="9" t="s">
        <v>81</v>
      </c>
      <c r="D18" s="9" t="s">
        <v>129</v>
      </c>
      <c r="E18" s="7" t="s">
        <v>129</v>
      </c>
    </row>
    <row r="19" spans="1:6" x14ac:dyDescent="0.25">
      <c r="A19" s="9">
        <v>17</v>
      </c>
      <c r="B19" s="9" t="s">
        <v>82</v>
      </c>
      <c r="C19" s="9" t="s">
        <v>82</v>
      </c>
      <c r="D19" s="9" t="s">
        <v>130</v>
      </c>
      <c r="E19" s="7" t="s">
        <v>130</v>
      </c>
    </row>
    <row r="20" spans="1:6" x14ac:dyDescent="0.25">
      <c r="A20" s="9">
        <v>18</v>
      </c>
      <c r="B20" s="9" t="s">
        <v>83</v>
      </c>
      <c r="C20" s="9" t="s">
        <v>83</v>
      </c>
      <c r="D20" s="9" t="s">
        <v>131</v>
      </c>
      <c r="E20" s="7" t="s">
        <v>131</v>
      </c>
    </row>
    <row r="21" spans="1:6" x14ac:dyDescent="0.25">
      <c r="A21" s="9">
        <v>19</v>
      </c>
      <c r="B21" s="9" t="s">
        <v>53</v>
      </c>
      <c r="C21" s="9" t="s">
        <v>84</v>
      </c>
      <c r="D21" s="9" t="s">
        <v>132</v>
      </c>
      <c r="E21" s="7" t="s">
        <v>132</v>
      </c>
    </row>
    <row r="22" spans="1:6" x14ac:dyDescent="0.25">
      <c r="A22" s="9">
        <v>20</v>
      </c>
      <c r="B22" s="9" t="s">
        <v>53</v>
      </c>
      <c r="C22" s="9" t="s">
        <v>85</v>
      </c>
      <c r="D22" s="9" t="s">
        <v>132</v>
      </c>
      <c r="E22" s="7" t="s">
        <v>132</v>
      </c>
    </row>
    <row r="23" spans="1:6" x14ac:dyDescent="0.25">
      <c r="A23" s="9">
        <v>21</v>
      </c>
      <c r="B23" s="9" t="s">
        <v>133</v>
      </c>
      <c r="C23" s="9" t="s">
        <v>86</v>
      </c>
      <c r="D23" s="9" t="s">
        <v>134</v>
      </c>
      <c r="E23" s="7" t="s">
        <v>134</v>
      </c>
    </row>
    <row r="24" spans="1:6" x14ac:dyDescent="0.25">
      <c r="A24" s="9">
        <v>22</v>
      </c>
      <c r="B24" s="9" t="s">
        <v>133</v>
      </c>
      <c r="C24" s="9" t="s">
        <v>54</v>
      </c>
      <c r="D24" s="9" t="s">
        <v>134</v>
      </c>
      <c r="E24" s="7" t="s">
        <v>134</v>
      </c>
    </row>
    <row r="25" spans="1:6" x14ac:dyDescent="0.25">
      <c r="A25" s="9">
        <v>23</v>
      </c>
      <c r="B25" s="9" t="s">
        <v>135</v>
      </c>
      <c r="C25" s="9" t="s">
        <v>88</v>
      </c>
      <c r="D25" s="9" t="s">
        <v>136</v>
      </c>
      <c r="E25" s="7" t="s">
        <v>136</v>
      </c>
    </row>
    <row r="26" spans="1:6" x14ac:dyDescent="0.25">
      <c r="A26" s="9">
        <v>24</v>
      </c>
      <c r="B26" s="9" t="s">
        <v>135</v>
      </c>
      <c r="C26" s="9" t="s">
        <v>137</v>
      </c>
      <c r="D26" s="9" t="s">
        <v>136</v>
      </c>
      <c r="E26" s="7" t="s">
        <v>136</v>
      </c>
    </row>
    <row r="27" spans="1:6" x14ac:dyDescent="0.25">
      <c r="A27" s="9">
        <v>25</v>
      </c>
      <c r="B27" s="9" t="s">
        <v>135</v>
      </c>
      <c r="C27" s="9" t="s">
        <v>138</v>
      </c>
      <c r="D27" s="9" t="s">
        <v>136</v>
      </c>
      <c r="E27" s="7" t="s">
        <v>136</v>
      </c>
    </row>
    <row r="28" spans="1:6" x14ac:dyDescent="0.25">
      <c r="A28" s="9">
        <v>26</v>
      </c>
      <c r="B28" s="9" t="s">
        <v>70</v>
      </c>
      <c r="C28" s="9" t="s">
        <v>70</v>
      </c>
      <c r="D28" s="9" t="s">
        <v>139</v>
      </c>
      <c r="E28" s="7" t="s">
        <v>140</v>
      </c>
      <c r="F28" s="6">
        <v>72.187968681300262</v>
      </c>
    </row>
    <row r="29" spans="1:6" x14ac:dyDescent="0.25">
      <c r="A29" s="9">
        <v>27</v>
      </c>
      <c r="B29" s="9" t="s">
        <v>71</v>
      </c>
      <c r="C29" s="9" t="s">
        <v>71</v>
      </c>
      <c r="D29" s="9" t="s">
        <v>141</v>
      </c>
      <c r="E29" s="7" t="s">
        <v>140</v>
      </c>
      <c r="F29" s="6">
        <v>72.187968681300262</v>
      </c>
    </row>
    <row r="30" spans="1:6" x14ac:dyDescent="0.25">
      <c r="A30" s="9">
        <v>28</v>
      </c>
      <c r="B30" s="9" t="s">
        <v>64</v>
      </c>
      <c r="C30" s="9" t="s">
        <v>64</v>
      </c>
      <c r="D30" s="9" t="s">
        <v>142</v>
      </c>
      <c r="E30" s="7" t="s">
        <v>143</v>
      </c>
      <c r="F30" s="6">
        <v>13.829652249662766</v>
      </c>
    </row>
    <row r="31" spans="1:6" x14ac:dyDescent="0.25">
      <c r="A31" s="9">
        <v>29</v>
      </c>
      <c r="B31" s="9" t="s">
        <v>35</v>
      </c>
      <c r="C31" s="9" t="s">
        <v>35</v>
      </c>
      <c r="D31" s="9" t="s">
        <v>144</v>
      </c>
      <c r="E31" s="7" t="s">
        <v>143</v>
      </c>
      <c r="F31" s="6">
        <v>13.829652249662766</v>
      </c>
    </row>
    <row r="32" spans="1:6" x14ac:dyDescent="0.25">
      <c r="A32" s="9">
        <v>30</v>
      </c>
      <c r="B32" s="9" t="s">
        <v>77</v>
      </c>
      <c r="C32" s="9" t="s">
        <v>77</v>
      </c>
      <c r="D32" s="9" t="s">
        <v>145</v>
      </c>
      <c r="E32" s="7" t="s">
        <v>146</v>
      </c>
      <c r="F32" s="6">
        <v>14.141616854444822</v>
      </c>
    </row>
    <row r="33" spans="1:6" x14ac:dyDescent="0.25">
      <c r="A33" s="9">
        <v>31</v>
      </c>
      <c r="B33" s="9" t="s">
        <v>37</v>
      </c>
      <c r="C33" s="9" t="s">
        <v>37</v>
      </c>
      <c r="D33" s="9" t="s">
        <v>147</v>
      </c>
      <c r="E33" s="7" t="s">
        <v>148</v>
      </c>
      <c r="F33" s="6">
        <v>6.2361215361950615</v>
      </c>
    </row>
    <row r="34" spans="1:6" x14ac:dyDescent="0.25">
      <c r="A34" s="9">
        <v>32</v>
      </c>
      <c r="B34" s="9" t="s">
        <v>78</v>
      </c>
      <c r="C34" s="9" t="s">
        <v>78</v>
      </c>
      <c r="D34" s="9" t="s">
        <v>149</v>
      </c>
      <c r="E34" s="7" t="s">
        <v>150</v>
      </c>
      <c r="F34" s="6">
        <v>13.404293070651994</v>
      </c>
    </row>
    <row r="35" spans="1:6" x14ac:dyDescent="0.25">
      <c r="A35" s="9">
        <v>33</v>
      </c>
      <c r="B35" s="9" t="s">
        <v>87</v>
      </c>
      <c r="C35" s="9" t="s">
        <v>87</v>
      </c>
      <c r="D35" s="9" t="s">
        <v>151</v>
      </c>
      <c r="E35" s="7" t="s">
        <v>152</v>
      </c>
      <c r="F35" s="6">
        <v>13.404293070651969</v>
      </c>
    </row>
    <row r="36" spans="1:6" x14ac:dyDescent="0.25">
      <c r="A36" s="9"/>
      <c r="B36" s="9"/>
      <c r="C36" s="9"/>
      <c r="D36" s="9"/>
      <c r="E36" s="7"/>
    </row>
    <row r="37" spans="1:6" x14ac:dyDescent="0.25">
      <c r="A37" s="9"/>
      <c r="B37" s="9"/>
      <c r="C37" s="9"/>
      <c r="D37" s="9"/>
      <c r="E37"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3B419-A78E-472C-ACED-05593BCAAFD2}">
  <sheetPr codeName="Лист7">
    <tabColor rgb="FFFFC000"/>
  </sheetPr>
  <dimension ref="A1:J29"/>
  <sheetViews>
    <sheetView workbookViewId="0">
      <selection activeCell="D27" sqref="D27"/>
    </sheetView>
  </sheetViews>
  <sheetFormatPr defaultRowHeight="15.75" x14ac:dyDescent="0.25"/>
  <cols>
    <col min="1" max="2" width="9" style="10"/>
    <col min="3" max="3" width="22.5" customWidth="1"/>
    <col min="4" max="5" width="9" style="10"/>
    <col min="6" max="6" width="17.75" style="10" customWidth="1"/>
    <col min="7" max="7" width="12.75" customWidth="1"/>
  </cols>
  <sheetData>
    <row r="1" spans="1:10" x14ac:dyDescent="0.25">
      <c r="A1" s="10" t="s">
        <v>63</v>
      </c>
      <c r="B1" s="10" t="s">
        <v>15</v>
      </c>
      <c r="C1" t="s">
        <v>16</v>
      </c>
      <c r="D1" s="10" t="s">
        <v>17</v>
      </c>
      <c r="E1" s="10" t="s">
        <v>18</v>
      </c>
      <c r="F1" s="10" t="s">
        <v>19</v>
      </c>
      <c r="G1" t="s">
        <v>20</v>
      </c>
      <c r="H1" t="s">
        <v>62</v>
      </c>
      <c r="I1" t="s">
        <v>153</v>
      </c>
      <c r="J1" t="s">
        <v>154</v>
      </c>
    </row>
    <row r="2" spans="1:10" x14ac:dyDescent="0.25">
      <c r="A2" s="10">
        <v>0</v>
      </c>
      <c r="B2" s="10" t="s">
        <v>64</v>
      </c>
      <c r="C2" t="s">
        <v>30</v>
      </c>
      <c r="D2" s="10" t="s">
        <v>31</v>
      </c>
      <c r="E2" s="10" t="s">
        <v>64</v>
      </c>
      <c r="F2" s="10" t="s">
        <v>93</v>
      </c>
      <c r="G2" t="s">
        <v>21</v>
      </c>
      <c r="H2">
        <v>0</v>
      </c>
      <c r="I2" t="s">
        <v>155</v>
      </c>
      <c r="J2" t="s">
        <v>156</v>
      </c>
    </row>
    <row r="3" spans="1:10" x14ac:dyDescent="0.25">
      <c r="A3" s="10">
        <v>1</v>
      </c>
      <c r="B3" s="10" t="s">
        <v>35</v>
      </c>
      <c r="C3" t="s">
        <v>32</v>
      </c>
      <c r="D3" s="10" t="s">
        <v>31</v>
      </c>
      <c r="E3" s="10" t="s">
        <v>94</v>
      </c>
      <c r="F3" s="10" t="s">
        <v>95</v>
      </c>
      <c r="G3" t="s">
        <v>21</v>
      </c>
      <c r="H3">
        <v>0</v>
      </c>
      <c r="I3" t="s">
        <v>157</v>
      </c>
      <c r="J3" t="s">
        <v>156</v>
      </c>
    </row>
    <row r="4" spans="1:10" x14ac:dyDescent="0.25">
      <c r="A4" s="10">
        <v>2</v>
      </c>
      <c r="B4" s="10" t="s">
        <v>33</v>
      </c>
      <c r="C4" t="s">
        <v>34</v>
      </c>
      <c r="D4" s="10" t="s">
        <v>35</v>
      </c>
      <c r="E4" s="10" t="s">
        <v>103</v>
      </c>
      <c r="F4" s="10" t="s">
        <v>104</v>
      </c>
      <c r="G4" t="s">
        <v>21</v>
      </c>
      <c r="H4">
        <v>0</v>
      </c>
      <c r="I4" t="s">
        <v>158</v>
      </c>
      <c r="J4" t="s">
        <v>158</v>
      </c>
    </row>
    <row r="5" spans="1:10" x14ac:dyDescent="0.25">
      <c r="A5" s="10">
        <v>3</v>
      </c>
      <c r="B5" s="10" t="s">
        <v>66</v>
      </c>
      <c r="C5" t="s">
        <v>30</v>
      </c>
      <c r="D5" s="10" t="s">
        <v>27</v>
      </c>
      <c r="E5" s="10" t="s">
        <v>36</v>
      </c>
      <c r="F5" s="10" t="s">
        <v>90</v>
      </c>
      <c r="G5" t="s">
        <v>21</v>
      </c>
      <c r="H5">
        <v>0</v>
      </c>
      <c r="I5" t="s">
        <v>159</v>
      </c>
      <c r="J5" t="s">
        <v>159</v>
      </c>
    </row>
    <row r="6" spans="1:10" x14ac:dyDescent="0.25">
      <c r="A6" s="10">
        <v>4</v>
      </c>
      <c r="B6" s="10" t="s">
        <v>68</v>
      </c>
      <c r="C6" t="s">
        <v>38</v>
      </c>
      <c r="D6" s="10" t="s">
        <v>39</v>
      </c>
      <c r="E6" s="10" t="s">
        <v>60</v>
      </c>
      <c r="F6" s="10" t="s">
        <v>61</v>
      </c>
      <c r="G6" t="s">
        <v>21</v>
      </c>
      <c r="H6">
        <v>0</v>
      </c>
      <c r="I6" t="s">
        <v>160</v>
      </c>
      <c r="J6" t="s">
        <v>161</v>
      </c>
    </row>
    <row r="7" spans="1:10" x14ac:dyDescent="0.25">
      <c r="A7" s="10">
        <v>5</v>
      </c>
      <c r="B7" s="10" t="s">
        <v>69</v>
      </c>
      <c r="C7" t="s">
        <v>30</v>
      </c>
      <c r="D7" s="10" t="s">
        <v>64</v>
      </c>
      <c r="E7" s="10" t="s">
        <v>94</v>
      </c>
      <c r="F7" s="10" t="s">
        <v>105</v>
      </c>
      <c r="G7" t="s">
        <v>21</v>
      </c>
      <c r="H7">
        <v>0</v>
      </c>
      <c r="I7" t="s">
        <v>162</v>
      </c>
      <c r="J7" t="s">
        <v>162</v>
      </c>
    </row>
    <row r="8" spans="1:10" x14ac:dyDescent="0.25">
      <c r="A8" s="10">
        <v>6</v>
      </c>
      <c r="B8" s="10" t="s">
        <v>70</v>
      </c>
      <c r="C8" t="s">
        <v>30</v>
      </c>
      <c r="D8" s="10" t="s">
        <v>40</v>
      </c>
      <c r="E8" s="10" t="s">
        <v>96</v>
      </c>
      <c r="F8" s="10" t="s">
        <v>105</v>
      </c>
      <c r="G8" t="s">
        <v>21</v>
      </c>
      <c r="H8">
        <v>0</v>
      </c>
      <c r="I8" t="s">
        <v>163</v>
      </c>
      <c r="J8" t="s">
        <v>164</v>
      </c>
    </row>
    <row r="9" spans="1:10" x14ac:dyDescent="0.25">
      <c r="A9" s="10">
        <v>7</v>
      </c>
      <c r="B9" s="10" t="s">
        <v>71</v>
      </c>
      <c r="C9" t="s">
        <v>32</v>
      </c>
      <c r="D9" s="10" t="s">
        <v>40</v>
      </c>
      <c r="E9" s="10" t="s">
        <v>35</v>
      </c>
      <c r="F9" s="10" t="s">
        <v>97</v>
      </c>
      <c r="G9" t="s">
        <v>21</v>
      </c>
      <c r="H9">
        <v>0</v>
      </c>
      <c r="I9" t="s">
        <v>165</v>
      </c>
      <c r="J9" t="s">
        <v>164</v>
      </c>
    </row>
    <row r="10" spans="1:10" x14ac:dyDescent="0.25">
      <c r="A10" s="10">
        <v>8</v>
      </c>
      <c r="B10" s="10" t="s">
        <v>72</v>
      </c>
      <c r="C10" t="s">
        <v>41</v>
      </c>
      <c r="D10" s="10" t="s">
        <v>23</v>
      </c>
      <c r="E10" s="10" t="s">
        <v>44</v>
      </c>
      <c r="F10" s="10" t="s">
        <v>59</v>
      </c>
      <c r="G10" t="s">
        <v>21</v>
      </c>
      <c r="H10">
        <v>0</v>
      </c>
      <c r="I10" t="s">
        <v>166</v>
      </c>
      <c r="J10" t="s">
        <v>166</v>
      </c>
    </row>
    <row r="11" spans="1:10" x14ac:dyDescent="0.25">
      <c r="A11" s="10">
        <v>9</v>
      </c>
      <c r="B11" s="10" t="s">
        <v>73</v>
      </c>
      <c r="C11" t="s">
        <v>41</v>
      </c>
      <c r="D11" s="10" t="s">
        <v>65</v>
      </c>
      <c r="E11" s="10" t="s">
        <v>42</v>
      </c>
      <c r="F11" s="10" t="s">
        <v>43</v>
      </c>
      <c r="G11" t="s">
        <v>21</v>
      </c>
      <c r="H11">
        <v>0</v>
      </c>
      <c r="I11" t="s">
        <v>167</v>
      </c>
      <c r="J11" t="s">
        <v>167</v>
      </c>
    </row>
    <row r="12" spans="1:10" x14ac:dyDescent="0.25">
      <c r="A12" s="10">
        <v>10</v>
      </c>
      <c r="B12" s="10" t="s">
        <v>74</v>
      </c>
      <c r="C12" t="s">
        <v>41</v>
      </c>
      <c r="D12" s="10" t="s">
        <v>67</v>
      </c>
      <c r="E12" s="10" t="s">
        <v>57</v>
      </c>
      <c r="F12" s="10" t="s">
        <v>58</v>
      </c>
      <c r="G12" t="s">
        <v>21</v>
      </c>
      <c r="H12">
        <v>0</v>
      </c>
      <c r="I12" t="s">
        <v>168</v>
      </c>
      <c r="J12" t="s">
        <v>168</v>
      </c>
    </row>
    <row r="13" spans="1:10" x14ac:dyDescent="0.25">
      <c r="A13" s="10">
        <v>11</v>
      </c>
      <c r="B13" s="10" t="s">
        <v>75</v>
      </c>
      <c r="C13" t="s">
        <v>41</v>
      </c>
      <c r="D13" s="10" t="s">
        <v>23</v>
      </c>
      <c r="E13" s="10" t="s">
        <v>44</v>
      </c>
      <c r="F13" s="10" t="s">
        <v>59</v>
      </c>
      <c r="G13" t="s">
        <v>28</v>
      </c>
      <c r="H13">
        <v>0</v>
      </c>
      <c r="I13" t="s">
        <v>169</v>
      </c>
      <c r="J13" t="s">
        <v>169</v>
      </c>
    </row>
    <row r="14" spans="1:10" x14ac:dyDescent="0.25">
      <c r="A14" s="10">
        <v>12</v>
      </c>
      <c r="B14" s="10" t="s">
        <v>76</v>
      </c>
      <c r="C14" t="s">
        <v>41</v>
      </c>
      <c r="D14" s="10" t="s">
        <v>35</v>
      </c>
      <c r="E14" s="10" t="s">
        <v>44</v>
      </c>
      <c r="F14" s="10" t="s">
        <v>89</v>
      </c>
      <c r="G14" t="s">
        <v>21</v>
      </c>
      <c r="H14">
        <v>0</v>
      </c>
      <c r="I14" t="s">
        <v>170</v>
      </c>
      <c r="J14" t="s">
        <v>170</v>
      </c>
    </row>
    <row r="15" spans="1:10" x14ac:dyDescent="0.25">
      <c r="A15" s="10">
        <v>13</v>
      </c>
      <c r="B15" s="10" t="s">
        <v>77</v>
      </c>
      <c r="C15" t="s">
        <v>29</v>
      </c>
      <c r="D15" s="10" t="s">
        <v>45</v>
      </c>
      <c r="E15" s="10" t="s">
        <v>35</v>
      </c>
      <c r="F15" s="10" t="s">
        <v>101</v>
      </c>
      <c r="G15" t="s">
        <v>21</v>
      </c>
      <c r="H15">
        <v>0</v>
      </c>
      <c r="I15" t="s">
        <v>171</v>
      </c>
      <c r="J15" t="s">
        <v>172</v>
      </c>
    </row>
    <row r="16" spans="1:10" x14ac:dyDescent="0.25">
      <c r="A16" s="10">
        <v>14</v>
      </c>
      <c r="B16" s="10" t="s">
        <v>37</v>
      </c>
      <c r="C16" t="s">
        <v>29</v>
      </c>
      <c r="D16" s="10" t="s">
        <v>46</v>
      </c>
      <c r="E16" s="10" t="s">
        <v>67</v>
      </c>
      <c r="F16" s="10" t="s">
        <v>98</v>
      </c>
      <c r="G16" t="s">
        <v>21</v>
      </c>
      <c r="H16">
        <v>0</v>
      </c>
      <c r="I16" t="s">
        <v>160</v>
      </c>
      <c r="J16" t="s">
        <v>161</v>
      </c>
    </row>
    <row r="17" spans="1:10" x14ac:dyDescent="0.25">
      <c r="A17" s="10">
        <v>15</v>
      </c>
      <c r="B17" s="10" t="s">
        <v>78</v>
      </c>
      <c r="C17" t="s">
        <v>24</v>
      </c>
      <c r="D17" s="10" t="s">
        <v>47</v>
      </c>
      <c r="E17" s="10" t="s">
        <v>99</v>
      </c>
      <c r="F17" s="10" t="s">
        <v>22</v>
      </c>
      <c r="G17" t="s">
        <v>21</v>
      </c>
      <c r="H17">
        <v>1</v>
      </c>
      <c r="I17" t="s">
        <v>173</v>
      </c>
      <c r="J17" t="s">
        <v>174</v>
      </c>
    </row>
    <row r="18" spans="1:10" x14ac:dyDescent="0.25">
      <c r="A18" s="10">
        <v>16</v>
      </c>
      <c r="B18" s="10" t="s">
        <v>79</v>
      </c>
      <c r="C18" t="s">
        <v>24</v>
      </c>
      <c r="D18" s="10" t="s">
        <v>64</v>
      </c>
      <c r="E18" s="10" t="s">
        <v>99</v>
      </c>
      <c r="F18" s="10" t="s">
        <v>22</v>
      </c>
      <c r="G18" t="s">
        <v>21</v>
      </c>
      <c r="H18">
        <v>1</v>
      </c>
      <c r="I18" t="s">
        <v>175</v>
      </c>
      <c r="J18" t="s">
        <v>175</v>
      </c>
    </row>
    <row r="19" spans="1:10" x14ac:dyDescent="0.25">
      <c r="A19" s="10">
        <v>17</v>
      </c>
      <c r="B19" s="10" t="s">
        <v>123</v>
      </c>
      <c r="C19" t="s">
        <v>49</v>
      </c>
      <c r="D19" s="10">
        <v>1</v>
      </c>
      <c r="E19" s="10">
        <v>0.4</v>
      </c>
      <c r="F19" s="10">
        <v>0.01</v>
      </c>
      <c r="G19" t="s">
        <v>21</v>
      </c>
      <c r="H19">
        <v>0</v>
      </c>
      <c r="I19" t="s">
        <v>176</v>
      </c>
      <c r="J19" t="s">
        <v>176</v>
      </c>
    </row>
    <row r="20" spans="1:10" x14ac:dyDescent="0.25">
      <c r="A20" s="10">
        <v>18</v>
      </c>
      <c r="B20" s="10" t="s">
        <v>125</v>
      </c>
      <c r="C20" t="s">
        <v>186</v>
      </c>
      <c r="D20" s="10">
        <v>1</v>
      </c>
      <c r="E20" s="10">
        <v>0.4</v>
      </c>
      <c r="F20" s="10">
        <v>0.2</v>
      </c>
      <c r="G20" t="s">
        <v>177</v>
      </c>
      <c r="H20">
        <v>0</v>
      </c>
      <c r="I20" t="s">
        <v>176</v>
      </c>
      <c r="J20" t="s">
        <v>176</v>
      </c>
    </row>
    <row r="21" spans="1:10" x14ac:dyDescent="0.25">
      <c r="A21" s="10">
        <v>19</v>
      </c>
      <c r="B21" s="10" t="s">
        <v>126</v>
      </c>
      <c r="C21" t="s">
        <v>186</v>
      </c>
      <c r="D21" s="10">
        <v>1</v>
      </c>
      <c r="E21" s="10">
        <v>0.4</v>
      </c>
      <c r="F21" s="10">
        <v>0.05</v>
      </c>
      <c r="G21" t="s">
        <v>177</v>
      </c>
      <c r="H21">
        <v>0</v>
      </c>
      <c r="I21" t="s">
        <v>176</v>
      </c>
      <c r="J21" t="s">
        <v>176</v>
      </c>
    </row>
    <row r="22" spans="1:10" x14ac:dyDescent="0.25">
      <c r="A22" s="10">
        <v>20</v>
      </c>
      <c r="B22" s="10" t="s">
        <v>50</v>
      </c>
      <c r="C22" t="s">
        <v>49</v>
      </c>
      <c r="D22" s="10" t="s">
        <v>64</v>
      </c>
      <c r="E22" s="10" t="s">
        <v>91</v>
      </c>
      <c r="F22" s="10" t="s">
        <v>92</v>
      </c>
      <c r="G22" t="s">
        <v>21</v>
      </c>
      <c r="H22">
        <v>0</v>
      </c>
      <c r="I22" t="s">
        <v>176</v>
      </c>
      <c r="J22" t="s">
        <v>176</v>
      </c>
    </row>
    <row r="23" spans="1:10" x14ac:dyDescent="0.25">
      <c r="A23" s="10">
        <v>21</v>
      </c>
      <c r="B23" s="10" t="s">
        <v>51</v>
      </c>
      <c r="C23" t="s">
        <v>34</v>
      </c>
      <c r="D23" s="10" t="s">
        <v>65</v>
      </c>
      <c r="E23" s="10" t="s">
        <v>26</v>
      </c>
      <c r="F23" s="10" t="s">
        <v>52</v>
      </c>
      <c r="G23" t="s">
        <v>21</v>
      </c>
      <c r="H23">
        <v>0</v>
      </c>
      <c r="I23" t="s">
        <v>178</v>
      </c>
      <c r="J23" t="s">
        <v>178</v>
      </c>
    </row>
    <row r="24" spans="1:10" x14ac:dyDescent="0.25">
      <c r="A24" s="10">
        <v>22</v>
      </c>
      <c r="B24" s="10" t="s">
        <v>53</v>
      </c>
      <c r="C24" t="s">
        <v>49</v>
      </c>
      <c r="D24" s="10" t="s">
        <v>35</v>
      </c>
      <c r="E24" s="10" t="s">
        <v>91</v>
      </c>
      <c r="F24" s="10" t="s">
        <v>92</v>
      </c>
      <c r="G24" t="s">
        <v>21</v>
      </c>
      <c r="H24">
        <v>0</v>
      </c>
      <c r="I24" t="s">
        <v>179</v>
      </c>
      <c r="J24" t="s">
        <v>179</v>
      </c>
    </row>
    <row r="25" spans="1:10" x14ac:dyDescent="0.25">
      <c r="A25" s="10">
        <v>23</v>
      </c>
      <c r="B25" s="10" t="s">
        <v>86</v>
      </c>
      <c r="C25" t="s">
        <v>49</v>
      </c>
      <c r="D25" s="10" t="s">
        <v>67</v>
      </c>
      <c r="E25" s="10" t="s">
        <v>91</v>
      </c>
      <c r="F25" s="10" t="s">
        <v>92</v>
      </c>
      <c r="G25" t="s">
        <v>21</v>
      </c>
      <c r="H25">
        <v>0</v>
      </c>
      <c r="I25" t="s">
        <v>180</v>
      </c>
      <c r="J25" t="s">
        <v>180</v>
      </c>
    </row>
    <row r="26" spans="1:10" x14ac:dyDescent="0.25">
      <c r="A26" s="10">
        <v>24</v>
      </c>
      <c r="B26" s="10" t="s">
        <v>54</v>
      </c>
      <c r="C26" t="s">
        <v>49</v>
      </c>
      <c r="D26" s="10" t="s">
        <v>25</v>
      </c>
      <c r="E26" s="10" t="s">
        <v>57</v>
      </c>
      <c r="F26" s="10" t="s">
        <v>58</v>
      </c>
      <c r="G26" t="s">
        <v>21</v>
      </c>
      <c r="H26">
        <v>0</v>
      </c>
      <c r="I26" t="s">
        <v>180</v>
      </c>
      <c r="J26" t="s">
        <v>180</v>
      </c>
    </row>
    <row r="27" spans="1:10" x14ac:dyDescent="0.25">
      <c r="A27" s="10">
        <v>25</v>
      </c>
      <c r="B27" s="10" t="s">
        <v>88</v>
      </c>
      <c r="C27" t="s">
        <v>49</v>
      </c>
      <c r="D27" s="10" t="s">
        <v>25</v>
      </c>
      <c r="E27" s="10" t="s">
        <v>57</v>
      </c>
      <c r="F27" s="10" t="s">
        <v>58</v>
      </c>
      <c r="G27" t="s">
        <v>21</v>
      </c>
      <c r="H27">
        <v>0</v>
      </c>
      <c r="I27" t="s">
        <v>181</v>
      </c>
      <c r="J27" t="s">
        <v>181</v>
      </c>
    </row>
    <row r="28" spans="1:10" x14ac:dyDescent="0.25">
      <c r="A28" s="10">
        <v>26</v>
      </c>
      <c r="B28" s="10" t="s">
        <v>55</v>
      </c>
      <c r="C28" t="s">
        <v>49</v>
      </c>
      <c r="D28" s="10" t="s">
        <v>35</v>
      </c>
      <c r="E28" s="10" t="s">
        <v>91</v>
      </c>
      <c r="F28" s="10" t="s">
        <v>92</v>
      </c>
      <c r="G28" t="s">
        <v>21</v>
      </c>
      <c r="H28">
        <v>0</v>
      </c>
      <c r="I28" t="s">
        <v>182</v>
      </c>
      <c r="J28" t="s">
        <v>182</v>
      </c>
    </row>
    <row r="29" spans="1:10" x14ac:dyDescent="0.25">
      <c r="A29" s="10">
        <v>27</v>
      </c>
      <c r="B29" s="10" t="s">
        <v>87</v>
      </c>
      <c r="C29" t="s">
        <v>49</v>
      </c>
      <c r="D29" s="10" t="s">
        <v>56</v>
      </c>
      <c r="E29" s="10" t="s">
        <v>96</v>
      </c>
      <c r="F29" s="10" t="s">
        <v>100</v>
      </c>
      <c r="G29" t="s">
        <v>21</v>
      </c>
      <c r="H29">
        <v>0</v>
      </c>
      <c r="I29" t="s">
        <v>183</v>
      </c>
      <c r="J29" t="s">
        <v>184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tabSelected="1" workbookViewId="0">
      <selection activeCell="L21" sqref="L21"/>
    </sheetView>
  </sheetViews>
  <sheetFormatPr defaultRowHeight="15.75" x14ac:dyDescent="0.25"/>
  <cols>
    <col min="1" max="2" width="9" style="10"/>
  </cols>
  <sheetData>
    <row r="1" spans="1:3" x14ac:dyDescent="0.25">
      <c r="A1" s="10" t="s">
        <v>63</v>
      </c>
      <c r="B1" s="10" t="s">
        <v>16</v>
      </c>
      <c r="C1" t="s">
        <v>109</v>
      </c>
    </row>
    <row r="2" spans="1:3" x14ac:dyDescent="0.25">
      <c r="A2" s="10">
        <v>0</v>
      </c>
      <c r="B2" s="10" t="s">
        <v>187</v>
      </c>
      <c r="C2" t="s">
        <v>188</v>
      </c>
    </row>
    <row r="3" spans="1:3" x14ac:dyDescent="0.25">
      <c r="A3" s="10">
        <v>1</v>
      </c>
      <c r="B3" s="10" t="s">
        <v>189</v>
      </c>
      <c r="C3" t="s">
        <v>190</v>
      </c>
    </row>
    <row r="4" spans="1:3" x14ac:dyDescent="0.25">
      <c r="A4" s="10">
        <v>2</v>
      </c>
      <c r="B4" s="10" t="s">
        <v>191</v>
      </c>
      <c r="C4" t="s">
        <v>192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workbookViewId="0">
      <selection activeCell="F22" sqref="F22"/>
    </sheetView>
  </sheetViews>
  <sheetFormatPr defaultRowHeight="15.75" x14ac:dyDescent="0.25"/>
  <cols>
    <col min="1" max="2" width="9" style="10"/>
    <col min="3" max="3" width="38.625" customWidth="1"/>
    <col min="4" max="4" width="14.125" customWidth="1"/>
  </cols>
  <sheetData>
    <row r="1" spans="12:13" x14ac:dyDescent="0.25">
      <c r="L1" s="10"/>
      <c r="M1" s="10"/>
    </row>
    <row r="2" spans="12:13" x14ac:dyDescent="0.25">
      <c r="L2" s="10"/>
      <c r="M2" s="10"/>
    </row>
    <row r="3" spans="12:13" x14ac:dyDescent="0.25">
      <c r="L3" s="10"/>
      <c r="M3" s="10"/>
    </row>
    <row r="4" spans="12:13" x14ac:dyDescent="0.25">
      <c r="L4" s="10"/>
      <c r="M4" s="10"/>
    </row>
    <row r="5" spans="12:13" x14ac:dyDescent="0.25">
      <c r="L5" s="10"/>
      <c r="M5" s="10"/>
    </row>
    <row r="6" spans="12:13" x14ac:dyDescent="0.25">
      <c r="L6" s="10"/>
      <c r="M6" s="10"/>
    </row>
    <row r="7" spans="12:13" x14ac:dyDescent="0.25">
      <c r="L7" s="10"/>
      <c r="M7" s="10"/>
    </row>
    <row r="8" spans="12:13" x14ac:dyDescent="0.25">
      <c r="L8" s="10"/>
      <c r="M8" s="10"/>
    </row>
    <row r="9" spans="12:13" x14ac:dyDescent="0.25">
      <c r="L9" s="10"/>
      <c r="M9" s="10"/>
    </row>
    <row r="10" spans="12:13" x14ac:dyDescent="0.25">
      <c r="L10" s="10"/>
      <c r="M10" s="10"/>
    </row>
    <row r="11" spans="12:13" x14ac:dyDescent="0.25">
      <c r="L11" s="10"/>
      <c r="M11" s="10"/>
    </row>
    <row r="12" spans="12:13" x14ac:dyDescent="0.25">
      <c r="L12" s="10"/>
      <c r="M12" s="10"/>
    </row>
    <row r="13" spans="12:13" x14ac:dyDescent="0.25">
      <c r="L13" s="10"/>
      <c r="M13" s="10"/>
    </row>
    <row r="14" spans="12:13" x14ac:dyDescent="0.25">
      <c r="L14" s="10"/>
      <c r="M14" s="10"/>
    </row>
    <row r="15" spans="12:13" x14ac:dyDescent="0.25">
      <c r="L15" s="10"/>
      <c r="M15" s="10"/>
    </row>
    <row r="16" spans="12:13" x14ac:dyDescent="0.25">
      <c r="L16" s="10"/>
      <c r="M16" s="10"/>
    </row>
    <row r="17" spans="12:14" x14ac:dyDescent="0.25">
      <c r="L17" s="10"/>
      <c r="M17" s="10"/>
    </row>
    <row r="18" spans="12:14" x14ac:dyDescent="0.25">
      <c r="L18" s="10"/>
      <c r="M18" s="10"/>
    </row>
    <row r="21" spans="12:14" x14ac:dyDescent="0.25">
      <c r="M21" s="10"/>
      <c r="N21" s="10"/>
    </row>
    <row r="22" spans="12:14" x14ac:dyDescent="0.25">
      <c r="M22" s="10"/>
      <c r="N22" s="10"/>
    </row>
    <row r="23" spans="12:14" x14ac:dyDescent="0.25">
      <c r="M23" s="10"/>
      <c r="N23"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B1"/>
  <sheetViews>
    <sheetView workbookViewId="0">
      <selection activeCell="G17" sqref="G17"/>
    </sheetView>
  </sheetViews>
  <sheetFormatPr defaultRowHeight="15.75" x14ac:dyDescent="0.25"/>
  <cols>
    <col min="1" max="2" width="9" style="10"/>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B1"/>
  <sheetViews>
    <sheetView workbookViewId="0">
      <selection activeCell="F27" sqref="F27"/>
    </sheetView>
  </sheetViews>
  <sheetFormatPr defaultRowHeight="15.75" x14ac:dyDescent="0.25"/>
  <cols>
    <col min="1" max="2" width="9" style="10"/>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8</vt:i4>
      </vt:variant>
    </vt:vector>
  </HeadingPairs>
  <TitlesOfParts>
    <vt:vector size="8" baseType="lpstr">
      <vt:lpstr>_xlwings.conf</vt:lpstr>
      <vt:lpstr>Ведомость</vt:lpstr>
      <vt:lpstr>Автокад</vt:lpstr>
      <vt:lpstr>Ведомость ОРМ</vt:lpstr>
      <vt:lpstr>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Maxim Mislivets</cp:lastModifiedBy>
  <dcterms:created xsi:type="dcterms:W3CDTF">2015-01-25T11:31:25Z</dcterms:created>
  <dcterms:modified xsi:type="dcterms:W3CDTF">2025-01-12T20:15:52Z</dcterms:modified>
</cp:coreProperties>
</file>