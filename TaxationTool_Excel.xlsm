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C:\Projects\TaxationTool\"/>
    </mc:Choice>
  </mc:AlternateContent>
  <xr:revisionPtr revIDLastSave="0" documentId="13_ncr:1_{2BBDB1DF-1BC0-4BB1-817C-CE88D9FF1A75}" xr6:coauthVersionLast="47" xr6:coauthVersionMax="47" xr10:uidLastSave="{00000000-0000-0000-0000-000000000000}"/>
  <bookViews>
    <workbookView xWindow="1680" yWindow="4650" windowWidth="16935" windowHeight="14400" tabRatio="500" activeTab="2" xr2:uid="{00000000-000D-0000-FFFF-FFFF00000000}"/>
  </bookViews>
  <sheets>
    <sheet name="_xlwings.conf" sheetId="2" r:id="rId1"/>
    <sheet name="Ведомость" sheetId="3" r:id="rId2"/>
    <sheet name="Автокад" sheetId="5" r:id="rId3"/>
  </sheets>
  <functionGroups builtInGroupCount="19">
    <functionGroup name="xlwings"/>
  </functionGroups>
  <calcPr calcId="191029" calcMode="manual"/>
  <extLst>
    <ext xmlns:x14="http://schemas.microsoft.com/office/spreadsheetml/2009/9/main" uri="{8193D73E-4604-4355-AFF4-8A2333D13BE4}">
      <x14:definedNames>
        <x14:definedName name="check_ambiguity">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get_is_shrub">
          <x14:argumentDescriptions count="1">
            <x14:argumentDescription index="0">Positional argument 1</x14:argumentDescription>
          </x14:argumentDescriptions>
        </x14:definedName>
        <x14:definedName name="identification_stum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sert_stump">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14" i="3" l="1"/>
  <c r="H7" i="3"/>
  <c r="H20" i="3"/>
  <c r="H8" i="3"/>
  <c r="I8" i="3" s="1"/>
  <c r="H21" i="3"/>
  <c r="I21" i="3" s="1"/>
  <c r="H12" i="3"/>
  <c r="H25" i="3"/>
  <c r="H15" i="3"/>
  <c r="J15" i="3" s="1"/>
  <c r="K15" i="3" s="1"/>
  <c r="H3" i="3"/>
  <c r="H26" i="3"/>
  <c r="I3" i="3"/>
  <c r="H16" i="3"/>
  <c r="H9" i="3"/>
  <c r="H22" i="3"/>
  <c r="J26" i="3"/>
  <c r="K26" i="3" s="1"/>
  <c r="I12" i="3"/>
  <c r="H11" i="3"/>
  <c r="J11" i="3" s="1"/>
  <c r="K11" i="3" s="1"/>
  <c r="I26" i="3"/>
  <c r="H27" i="3"/>
  <c r="J12" i="3"/>
  <c r="K12" i="3" s="1"/>
  <c r="J25" i="3"/>
  <c r="K25" i="3" s="1"/>
  <c r="I11" i="3"/>
  <c r="H10" i="3"/>
  <c r="H23" i="3"/>
  <c r="I25" i="3"/>
  <c r="H24" i="3"/>
  <c r="J3" i="3"/>
  <c r="K3" i="3" s="1"/>
  <c r="H13" i="3"/>
  <c r="H2" i="3"/>
  <c r="H4" i="3"/>
  <c r="I4" i="3" s="1"/>
  <c r="H17" i="3"/>
  <c r="J17" i="3" s="1"/>
  <c r="K17" i="3" s="1"/>
  <c r="H5" i="3"/>
  <c r="I5" i="3" s="1"/>
  <c r="H18" i="3"/>
  <c r="I17" i="3"/>
  <c r="J7" i="3"/>
  <c r="K7" i="3" s="1"/>
  <c r="J20" i="3"/>
  <c r="K20" i="3" s="1"/>
  <c r="J8" i="3"/>
  <c r="K8" i="3" s="1"/>
  <c r="J21" i="3"/>
  <c r="K21" i="3" s="1"/>
  <c r="I7" i="3"/>
  <c r="I20" i="3"/>
  <c r="H6" i="3"/>
  <c r="H19" i="3"/>
  <c r="I15" i="3"/>
  <c r="J4" i="3"/>
  <c r="K4" i="3" s="1"/>
  <c r="J5" i="3"/>
  <c r="K5" i="3" s="1"/>
  <c r="I16" i="3"/>
  <c r="J16" i="3"/>
  <c r="K16" i="3" s="1"/>
  <c r="I9" i="3"/>
  <c r="J9" i="3"/>
  <c r="K9" i="3" s="1"/>
  <c r="I22" i="3"/>
  <c r="J22" i="3"/>
  <c r="K22" i="3" s="1"/>
  <c r="J27" i="3"/>
  <c r="K27" i="3" s="1"/>
  <c r="I27" i="3"/>
  <c r="I10" i="3"/>
  <c r="J10" i="3"/>
  <c r="K10" i="3" s="1"/>
  <c r="I23" i="3"/>
  <c r="J23" i="3"/>
  <c r="K23" i="3" s="1"/>
  <c r="I24" i="3"/>
  <c r="J24" i="3"/>
  <c r="K24" i="3" s="1"/>
  <c r="I13" i="3"/>
  <c r="J13" i="3"/>
  <c r="K13" i="3" s="1"/>
  <c r="I2" i="3"/>
  <c r="J2" i="3"/>
  <c r="K2" i="3" s="1"/>
  <c r="I18" i="3"/>
  <c r="J18" i="3"/>
  <c r="K18" i="3" s="1"/>
  <c r="I6" i="3"/>
  <c r="J6" i="3"/>
  <c r="K6" i="3" s="1"/>
  <c r="I19" i="3"/>
  <c r="J19" i="3"/>
  <c r="K19" i="3" s="1"/>
  <c r="I14" i="3"/>
  <c r="J14" i="3"/>
  <c r="K14" i="3" s="1"/>
</calcChain>
</file>

<file path=xl/sharedStrings.xml><?xml version="1.0" encoding="utf-8"?>
<sst xmlns="http://schemas.openxmlformats.org/spreadsheetml/2006/main" count="344" uniqueCount="145">
  <si>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</si>
  <si>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</si>
  <si>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</si>
  <si>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</si>
  <si>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</si>
  <si>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</si>
  <si>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</si>
  <si>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</si>
  <si>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</si>
  <si>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</si>
  <si>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</si>
  <si>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</si>
  <si>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</si>
  <si>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</si>
  <si>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</si>
  <si>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Номер точки</t>
  </si>
  <si>
    <t>Наименование</t>
  </si>
  <si>
    <t>Количество</t>
  </si>
  <si>
    <t>Высота</t>
  </si>
  <si>
    <t>Толщина</t>
  </si>
  <si>
    <t>Состояние</t>
  </si>
  <si>
    <t>Хорошее</t>
  </si>
  <si>
    <t>-</t>
  </si>
  <si>
    <t>2 ствола</t>
  </si>
  <si>
    <t>Смородина чёрная</t>
  </si>
  <si>
    <t>3 ствола</t>
  </si>
  <si>
    <t>5х4</t>
  </si>
  <si>
    <t>6 стволов</t>
  </si>
  <si>
    <t>Хорошее; плохое</t>
  </si>
  <si>
    <t>Алыча</t>
  </si>
  <si>
    <t>береза</t>
  </si>
  <si>
    <t>14 м2</t>
  </si>
  <si>
    <t>ольха</t>
  </si>
  <si>
    <t>3,4</t>
  </si>
  <si>
    <t>Ольха серая</t>
  </si>
  <si>
    <t>2</t>
  </si>
  <si>
    <t>4,4,4,4,4,4</t>
  </si>
  <si>
    <t>16</t>
  </si>
  <si>
    <t>Ива ломкая</t>
  </si>
  <si>
    <t>54 ствола</t>
  </si>
  <si>
    <t>72 м2</t>
  </si>
  <si>
    <t>Яблоня домашняя</t>
  </si>
  <si>
    <t>1.5х4</t>
  </si>
  <si>
    <t>0.04х4</t>
  </si>
  <si>
    <t>1.5х2</t>
  </si>
  <si>
    <t>19 м.п.</t>
  </si>
  <si>
    <t>6 м.п.</t>
  </si>
  <si>
    <t>13 м2</t>
  </si>
  <si>
    <t>19а-в</t>
  </si>
  <si>
    <t>Берёза пушистая</t>
  </si>
  <si>
    <t>19 г</t>
  </si>
  <si>
    <t>20,21-22, 23</t>
  </si>
  <si>
    <t>5,4,8х2</t>
  </si>
  <si>
    <t>24-25</t>
  </si>
  <si>
    <t>26а</t>
  </si>
  <si>
    <t>27.2-27.3</t>
  </si>
  <si>
    <t>15 м2</t>
  </si>
  <si>
    <t>1.5х3</t>
  </si>
  <si>
    <t>0.03х3</t>
  </si>
  <si>
    <t>0.04х2</t>
  </si>
  <si>
    <t>5х14, 4х30, 3х8,2,1</t>
  </si>
  <si>
    <t>7х3,4х11, 2х40</t>
  </si>
  <si>
    <t>Кустарник</t>
  </si>
  <si>
    <t>Неоднозначность</t>
  </si>
  <si>
    <t>Пень</t>
  </si>
  <si>
    <t>Индекс</t>
  </si>
  <si>
    <t>Наименование (пень)</t>
  </si>
  <si>
    <t>1</t>
  </si>
  <si>
    <t>4</t>
  </si>
  <si>
    <t>5</t>
  </si>
  <si>
    <t>3</t>
  </si>
  <si>
    <t>6</t>
  </si>
  <si>
    <t>7</t>
  </si>
  <si>
    <t>8</t>
  </si>
  <si>
    <t>9</t>
  </si>
  <si>
    <t>10</t>
  </si>
  <si>
    <t>11</t>
  </si>
  <si>
    <t>12</t>
  </si>
  <si>
    <t>13</t>
  </si>
  <si>
    <t>14</t>
  </si>
  <si>
    <t>15</t>
  </si>
  <si>
    <t>17</t>
  </si>
  <si>
    <t>18</t>
  </si>
  <si>
    <t>20</t>
  </si>
  <si>
    <t>21</t>
  </si>
  <si>
    <t>22</t>
  </si>
  <si>
    <t>23</t>
  </si>
  <si>
    <t>24</t>
  </si>
  <si>
    <t>25</t>
  </si>
  <si>
    <t>26</t>
  </si>
  <si>
    <t>28</t>
  </si>
  <si>
    <t>27.1</t>
  </si>
  <si>
    <t>origin_number</t>
  </si>
  <si>
    <t>number_position</t>
  </si>
  <si>
    <t>split_number</t>
  </si>
  <si>
    <t>type</t>
  </si>
  <si>
    <t>geometry</t>
  </si>
  <si>
    <t>size</t>
  </si>
  <si>
    <t>POINT (3108.838205298518 1707.285109871409)</t>
  </si>
  <si>
    <t>Point</t>
  </si>
  <si>
    <t>POINT (3114.150988844972 1707.4695572873902)</t>
  </si>
  <si>
    <t>POINT (3115.690642463274 1707.5867820573599)</t>
  </si>
  <si>
    <t>POINT (3115.1004453425708 1706.18062074892)</t>
  </si>
  <si>
    <t>POINT (3114.699609216242 1705.0905155704238)</t>
  </si>
  <si>
    <t>POINT (3104.043722283615 1698.543651078497)</t>
  </si>
  <si>
    <t>POINT (3105.090899215862 1695.9481208535972)</t>
  </si>
  <si>
    <t>POINT (3106.332887793542 1693.7013226121771)</t>
  </si>
  <si>
    <t>POINT (3104.361115387819 1692.888423763281)</t>
  </si>
  <si>
    <t>POINT (3107.4888707400646 1689.420932022136)</t>
  </si>
  <si>
    <t>POINT (3111.379753263188 1713.542099550268)</t>
  </si>
  <si>
    <t>19а-г</t>
  </si>
  <si>
    <t>POINT (3115.8767179014208 1710.2258575299381)</t>
  </si>
  <si>
    <t>19а</t>
  </si>
  <si>
    <t>19б</t>
  </si>
  <si>
    <t>19в</t>
  </si>
  <si>
    <t>19г</t>
  </si>
  <si>
    <t>POINT (3115.0061404912108 1715.72499227971)</t>
  </si>
  <si>
    <t>POINT (3113.301828595038 1716.110113041026)</t>
  </si>
  <si>
    <t>POINT (3112.086560913637 1715.354679146507)</t>
  </si>
  <si>
    <t>POINT (3109.758842254726 1716.964399774057)</t>
  </si>
  <si>
    <t>POINT (3105.0233167174188 1709.065127000339)</t>
  </si>
  <si>
    <t>26,26а</t>
  </si>
  <si>
    <t>POINT (3102.168668723462 1708.5065675452358)</t>
  </si>
  <si>
    <t>27.1-27.3</t>
  </si>
  <si>
    <t>POINT (3102.4476191511308 1705.577447903106)</t>
  </si>
  <si>
    <t>POINT (3106.665839634858 1703.063361392738)</t>
  </si>
  <si>
    <t>Polygon</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</si>
  <si>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</si>
  <si>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</si>
  <si>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</si>
  <si>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</si>
  <si>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</si>
  <si>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POINT (3092.268998306507 1693.40414713145)</t>
  </si>
  <si>
    <t>LineString</t>
  </si>
  <si>
    <t>LINESTRING (3092.268998306507 1693.40414713145, 3093.1339331649187 1712.252511477547)</t>
  </si>
  <si>
    <t>POINT (3099.2754038714006 1706.814426161843)</t>
  </si>
  <si>
    <t>LINESTRING (3099.2754038714006 1706.814426161843, 3097.4187151780247 1709.300406547605, 3094.335886693676 1708.740184617282)</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</si>
  <si>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</si>
  <si>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</si>
  <si>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POINT (3097.3196819427726 1694.2533347047422)</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</si>
  <si>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3100.175671493479 1697.239015066131, 3100.148345316885 1697.230896338491, 3100.121043650454 1697.224415905804, 3100.093766453377 1697.2195148855249, 3100.066513684846 1697.2161343951059, 3100.039285304049 1697.2142155520019,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3099.6337583698933 1697.3207904515962, 3099.580094609621 1697.348170070841, 3099.526525462005 1697.3771567360009, 3099.313188468587 1697.499752648339, 3099.207079159439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3097.0945464584743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1692.430827938159, 3099.3558205282843 1692.5298273699718, 3099.510532964635 1692.6562215368122, 3099.649920850755 1692.8071289737368, 3099.776100142384 1692.979668215806, 3099.8911867952665 1693.170957798077, 3099.997296765145 1693.3781162556108, 3100.096546007763 1693.598262123466, 3100.282926134187 1694.065990230376, 3100.467127250995 1694.551134079575, 3100.651881168635 1695.035502661798, 3100.813303371411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</si>
  <si>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nan</t>
  </si>
  <si>
    <t>index</t>
  </si>
  <si>
    <t>27.2</t>
  </si>
  <si>
    <t>27.3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</si>
</sst>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sz val="8"/>
      <name val="Calibri"/>
      <family val="2"/>
      <scheme val="minor"/>
    </font>
  </fonts>
  <fills count="4">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s>
  <borders count="1">
    <border>
      <left/>
      <right/>
      <top/>
      <bottom/>
      <diagonal/>
    </border>
  </borders>
  <cellStyleXfs count="1">
    <xf numFmtId="0" fontId="0" fillId="0" borderId="0"/>
  </cellStyleXfs>
  <cellXfs count="22">
    <xf numFmtId="0" fontId="0" fillId="0" borderId="0" xfId="0"/>
    <xf numFmtId="0" fontId="0" fillId="0" borderId="0" xfId="0" applyAlignment="1">
      <alignment vertical="center"/>
    </xf>
    <xf numFmtId="0" fontId="1" fillId="0" borderId="0" xfId="0" applyFont="1" applyAlignment="1">
      <alignment vertical="center"/>
    </xf>
    <xf numFmtId="0" fontId="0" fillId="0" borderId="0" xfId="0" applyBorder="1"/>
    <xf numFmtId="0" fontId="0" fillId="0" borderId="0" xfId="0" applyBorder="1" applyAlignment="1">
      <alignment horizontal="left" vertical="center"/>
    </xf>
    <xf numFmtId="0" fontId="0" fillId="0" borderId="0" xfId="0" applyAlignment="1">
      <alignment horizontal="left" vertical="center"/>
    </xf>
    <xf numFmtId="0" fontId="0" fillId="2" borderId="0" xfId="0" applyFill="1" applyBorder="1" applyAlignment="1">
      <alignment horizontal="left" vertical="center"/>
    </xf>
    <xf numFmtId="1" fontId="0" fillId="0" borderId="0" xfId="0" applyNumberFormat="1"/>
    <xf numFmtId="0" fontId="0" fillId="0" borderId="0" xfId="0" applyFill="1"/>
    <xf numFmtId="0" fontId="0" fillId="0" borderId="0" xfId="0" applyFill="1" applyAlignment="1">
      <alignment horizontal="left" vertical="center"/>
    </xf>
    <xf numFmtId="0" fontId="0" fillId="2" borderId="0" xfId="0" applyFill="1" applyBorder="1"/>
    <xf numFmtId="0" fontId="0" fillId="2" borderId="0" xfId="0" applyFill="1" applyAlignment="1">
      <alignment horizontal="left" vertical="center"/>
    </xf>
    <xf numFmtId="0" fontId="0" fillId="3" borderId="0" xfId="0" applyFill="1" applyBorder="1" applyAlignment="1">
      <alignment horizontal="left" vertical="center"/>
    </xf>
    <xf numFmtId="0" fontId="0" fillId="0" borderId="0" xfId="0" applyNumberFormat="1" applyFill="1" applyAlignment="1">
      <alignment horizontal="left" vertical="center"/>
    </xf>
    <xf numFmtId="0" fontId="0" fillId="0" borderId="0" xfId="0" applyNumberFormat="1" applyAlignment="1">
      <alignment horizontal="left" vertical="center"/>
    </xf>
    <xf numFmtId="0" fontId="0" fillId="2" borderId="0" xfId="0" quotePrefix="1" applyFill="1" applyBorder="1" applyAlignment="1">
      <alignment horizontal="left" vertical="center"/>
    </xf>
    <xf numFmtId="0" fontId="0" fillId="0" borderId="0" xfId="0" applyNumberFormat="1" applyFill="1"/>
    <xf numFmtId="0" fontId="0" fillId="0" borderId="0" xfId="0" quotePrefix="1" applyBorder="1" applyAlignment="1">
      <alignment horizontal="left" vertical="center"/>
    </xf>
    <xf numFmtId="0" fontId="0" fillId="3" borderId="0" xfId="0" quotePrefix="1" applyFill="1" applyBorder="1" applyAlignment="1">
      <alignment horizontal="left" vertical="center"/>
    </xf>
    <xf numFmtId="0" fontId="0" fillId="2" borderId="0" xfId="0" applyNumberFormat="1" applyFill="1" applyAlignment="1">
      <alignment horizontal="left" vertical="center"/>
    </xf>
    <xf numFmtId="0" fontId="0" fillId="0" borderId="0" xfId="0" applyAlignment="1"/>
    <xf numFmtId="0" fontId="0" fillId="0" borderId="0" xfId="0" quotePrefix="1" applyAlignment="1"/>
  </cellXfs>
  <cellStyles count="1">
    <cellStyle name="Обычный" xfId="0" builtinId="0"/>
  </cellStyles>
  <dxfs count="20">
    <dxf>
      <numFmt numFmtId="0" formatCode="General"/>
      <alignment horizontal="left" vertical="center"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1EEB44-76B2-4948-A9ED-6E1AB69107FB}" name="ВедомостьТаксации" displayName="ВедомостьТаксации" ref="A1:K27" totalsRowShown="0" dataDxfId="19">
  <autoFilter ref="A1:K27" xr:uid="{E91EEB44-76B2-4948-A9ED-6E1AB69107FB}"/>
  <sortState xmlns:xlrd2="http://schemas.microsoft.com/office/spreadsheetml/2017/richdata2" ref="A2:J27">
    <sortCondition ref="A1:A27"/>
  </sortState>
  <tableColumns count="11">
    <tableColumn id="1" xr3:uid="{332F453B-64B4-49B8-89AE-48806FA97521}" name="Индекс"/>
    <tableColumn id="2" xr3:uid="{7A12F90E-E3FD-4CF2-9A17-8AD672F694A7}" name="Номер точки" dataDxfId="18"/>
    <tableColumn id="3" xr3:uid="{5316860A-FD4C-49E0-8750-06B93723DFA0}" name="Наименование" dataDxfId="17"/>
    <tableColumn id="4" xr3:uid="{27577322-3406-4474-A663-A8E8411D48A6}" name="Количество" dataDxfId="16"/>
    <tableColumn id="5" xr3:uid="{63F7C849-1835-4B94-B7A3-CC65514C33A0}" name="Высота" dataDxfId="15"/>
    <tableColumn id="6" xr3:uid="{C2606656-7CBB-4852-84E9-8945C4F40A2D}" name="Толщина" dataDxfId="14"/>
    <tableColumn id="7" xr3:uid="{47ECBA02-4209-48CD-8638-2C096DA0251C}" name="Состояние" dataDxfId="13"/>
    <tableColumn id="10" xr3:uid="{EF832767-938A-455C-8CF0-97B2CF2CE7CC}" name="Кустарник" dataDxfId="12">
      <calculatedColumnFormula>get_is_shrub(ВедомостьТаксации[[#This Row],[Наименование]])</calculatedColumnFormula>
    </tableColumn>
    <tableColumn id="8" xr3:uid="{4A9B7299-D379-4DF1-8C2B-0E27730A3C5D}" name="Неоднозначность" dataDxfId="11">
      <calculatedColumnFormula>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calculatedColumnFormula>
    </tableColumn>
    <tableColumn id="9" xr3:uid="{CB9260E8-ECFB-4A4F-90A4-B0F97C9F1EC0}" name="Пень" dataDxfId="10">
      <calculatedColumnFormula>identification_stump(ВедомостьТаксации[[#This Row],[Высота]],ВедомостьТаксации[[#This Row],[Толщина]],ВедомостьТаксации[[#This Row],[Кустарник]])</calculatedColumnFormula>
    </tableColumn>
    <tableColumn id="13" xr3:uid="{35C007C5-EA95-432C-9B6A-5E5EC4166831}" name="Наименование (пень)" dataDxfId="0">
      <calculatedColumnFormula>insert_stump(ВедомостьТаксации[[#This Row],[Наименование]],ВедомостьТаксации[[#This Row],[Пень]])</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D2D9EC-E75B-4646-B648-D422083DF933}" name="ТаксацияАвтокад" displayName="ТаксацияАвтокад" ref="A1:G35" totalsRowShown="0" headerRowDxfId="1" dataDxfId="2">
  <autoFilter ref="A1:G35" xr:uid="{B1D2D9EC-E75B-4646-B648-D422083DF933}"/>
  <tableColumns count="7">
    <tableColumn id="1" xr3:uid="{1F62141F-92AD-4B7B-A7EF-DF5E342967B7}" name="index" dataDxfId="9"/>
    <tableColumn id="2" xr3:uid="{002C9FDD-B00E-443C-953A-27E978A8D660}" name="origin_number" dataDxfId="8"/>
    <tableColumn id="3" xr3:uid="{1F0BD3EA-4FD8-4521-A6A9-DC41BA2DB938}" name="number_position" dataDxfId="7"/>
    <tableColumn id="4" xr3:uid="{D24CE04A-81A0-4FA3-A04B-FDE5E9A522EE}" name="split_number" dataDxfId="6"/>
    <tableColumn id="5" xr3:uid="{8584B3DC-A2B5-452D-8977-E87DF2BF3A40}" name="type" dataDxfId="5"/>
    <tableColumn id="6" xr3:uid="{D5B6EEDD-EABB-4CF7-A60F-61F2C50F4BDC}" name="geometry" dataDxfId="4"/>
    <tableColumn id="7" xr3:uid="{F71BAA54-84ED-4672-ABB5-93E166C80099}" name="size" dataDxfId="3"/>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9F3D-C429-4B77-A743-2C08BAD75354}">
  <sheetPr codeName="Лист1"/>
  <dimension ref="A1:L32"/>
  <sheetViews>
    <sheetView workbookViewId="0">
      <selection activeCell="N6" sqref="N6"/>
    </sheetView>
  </sheetViews>
  <sheetFormatPr defaultRowHeight="15.75" x14ac:dyDescent="0.25"/>
  <cols>
    <col min="1" max="1" width="5.5" customWidth="1"/>
    <col min="2" max="2" width="10.875" customWidth="1"/>
    <col min="3" max="3" width="16" customWidth="1"/>
    <col min="4" max="4" width="12.875" customWidth="1"/>
    <col min="5" max="5" width="18.875" customWidth="1"/>
    <col min="6" max="6" width="14" customWidth="1"/>
    <col min="7" max="7" width="15.375" customWidth="1"/>
    <col min="8" max="8" width="12" customWidth="1"/>
    <col min="9" max="9" width="17.875" customWidth="1"/>
    <col min="11" max="11" width="21.375" customWidth="1"/>
  </cols>
  <sheetData>
    <row r="1" spans="1:12" x14ac:dyDescent="0.25">
      <c r="A1" s="3" t="s">
        <v>65</v>
      </c>
      <c r="B1" s="3" t="s">
        <v>15</v>
      </c>
      <c r="C1" s="3" t="s">
        <v>16</v>
      </c>
      <c r="D1" s="3" t="s">
        <v>17</v>
      </c>
      <c r="E1" s="3" t="s">
        <v>18</v>
      </c>
      <c r="F1" s="3" t="s">
        <v>19</v>
      </c>
      <c r="G1" s="3" t="s">
        <v>20</v>
      </c>
      <c r="H1" t="s">
        <v>62</v>
      </c>
      <c r="I1" t="s">
        <v>63</v>
      </c>
      <c r="J1" t="s">
        <v>64</v>
      </c>
      <c r="K1" t="s">
        <v>66</v>
      </c>
    </row>
    <row r="2" spans="1:12" s="8" customFormat="1" x14ac:dyDescent="0.25">
      <c r="A2" s="10">
        <v>0</v>
      </c>
      <c r="B2" s="15" t="s">
        <v>67</v>
      </c>
      <c r="C2" s="6" t="s">
        <v>30</v>
      </c>
      <c r="D2" s="6" t="s">
        <v>31</v>
      </c>
      <c r="E2" s="6">
        <v>1</v>
      </c>
      <c r="F2" s="6">
        <v>0.05</v>
      </c>
      <c r="G2" s="6" t="s">
        <v>21</v>
      </c>
      <c r="H2" s="11">
        <f>get_is_shrub(ВедомостьТаксации[[#This Row],[Наименование]])</f>
        <v>0</v>
      </c>
      <c r="I2" s="9">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 s="9">
        <f>identification_stump(ВедомостьТаксации[[#This Row],[Высота]],ВедомостьТаксации[[#This Row],[Толщина]],ВедомостьТаксации[[#This Row],[Кустарник]])</f>
        <v>0</v>
      </c>
      <c r="K2" s="13" t="str">
        <f>insert_stump(ВедомостьТаксации[[#This Row],[Наименование]],ВедомостьТаксации[[#This Row],[Пень]])</f>
        <v>береза</v>
      </c>
      <c r="L2" s="16"/>
    </row>
    <row r="3" spans="1:12" s="8" customFormat="1" x14ac:dyDescent="0.25">
      <c r="A3" s="3">
        <v>1</v>
      </c>
      <c r="B3" s="17" t="s">
        <v>35</v>
      </c>
      <c r="C3" s="4" t="s">
        <v>32</v>
      </c>
      <c r="D3" s="4" t="s">
        <v>31</v>
      </c>
      <c r="E3" s="4">
        <v>2.5</v>
      </c>
      <c r="F3" s="4">
        <v>0.08</v>
      </c>
      <c r="G3" s="4" t="s">
        <v>21</v>
      </c>
      <c r="H3" s="11">
        <f>get_is_shrub(ВедомостьТаксации[[#This Row],[Наименование]])</f>
        <v>0</v>
      </c>
      <c r="I3" s="9">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3" s="9">
        <f>identification_stump(ВедомостьТаксации[[#This Row],[Высота]],ВедомостьТаксации[[#This Row],[Толщина]],ВедомостьТаксации[[#This Row],[Кустарник]])</f>
        <v>0</v>
      </c>
      <c r="K3" s="13" t="str">
        <f>insert_stump(ВедомостьТаксации[[#This Row],[Наименование]],ВедомостьТаксации[[#This Row],[Пень]])</f>
        <v>ольха</v>
      </c>
      <c r="L3" s="16"/>
    </row>
    <row r="4" spans="1:12" s="8" customFormat="1" x14ac:dyDescent="0.25">
      <c r="A4" s="10">
        <v>2</v>
      </c>
      <c r="B4" s="17" t="s">
        <v>33</v>
      </c>
      <c r="C4" s="4" t="s">
        <v>34</v>
      </c>
      <c r="D4" s="4" t="s">
        <v>35</v>
      </c>
      <c r="E4" s="4">
        <v>5.5</v>
      </c>
      <c r="F4" s="4">
        <v>4.5</v>
      </c>
      <c r="G4" s="4" t="s">
        <v>21</v>
      </c>
      <c r="H4" s="11">
        <f>get_is_shrub(ВедомостьТаксации[[#This Row],[Наименование]])</f>
        <v>0</v>
      </c>
      <c r="I4" s="9">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4" s="9">
        <f>identification_stump(ВедомостьТаксации[[#This Row],[Высота]],ВедомостьТаксации[[#This Row],[Толщина]],ВедомостьТаксации[[#This Row],[Кустарник]])</f>
        <v>0</v>
      </c>
      <c r="K4" s="13" t="str">
        <f>insert_stump(ВедомостьТаксации[[#This Row],[Наименование]],ВедомостьТаксации[[#This Row],[Пень]])</f>
        <v>Ольха серая</v>
      </c>
      <c r="L4" s="16"/>
    </row>
    <row r="5" spans="1:12" s="8" customFormat="1" x14ac:dyDescent="0.25">
      <c r="A5" s="3">
        <v>3</v>
      </c>
      <c r="B5" s="17" t="s">
        <v>69</v>
      </c>
      <c r="C5" s="4" t="s">
        <v>30</v>
      </c>
      <c r="D5" s="4" t="s">
        <v>27</v>
      </c>
      <c r="E5" s="4" t="s">
        <v>36</v>
      </c>
      <c r="F5" s="4">
        <v>4.5</v>
      </c>
      <c r="G5" s="4" t="s">
        <v>21</v>
      </c>
      <c r="H5" s="11">
        <f>get_is_shrub(ВедомостьТаксации[[#This Row],[Наименование]])</f>
        <v>0</v>
      </c>
      <c r="I5" s="9">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5" s="9">
        <f>identification_stump(ВедомостьТаксации[[#This Row],[Высота]],ВедомостьТаксации[[#This Row],[Толщина]],ВедомостьТаксации[[#This Row],[Кустарник]])</f>
        <v>0</v>
      </c>
      <c r="K5" s="13" t="str">
        <f>insert_stump(ВедомостьТаксации[[#This Row],[Наименование]],ВедомостьТаксации[[#This Row],[Пень]])</f>
        <v>береза</v>
      </c>
      <c r="L5" s="16"/>
    </row>
    <row r="6" spans="1:12" s="8" customFormat="1" x14ac:dyDescent="0.25">
      <c r="A6" s="10">
        <v>4</v>
      </c>
      <c r="B6" s="15" t="s">
        <v>71</v>
      </c>
      <c r="C6" s="6" t="s">
        <v>38</v>
      </c>
      <c r="D6" s="6" t="s">
        <v>39</v>
      </c>
      <c r="E6" s="6" t="s">
        <v>60</v>
      </c>
      <c r="F6" s="6" t="s">
        <v>61</v>
      </c>
      <c r="G6" s="6" t="s">
        <v>21</v>
      </c>
      <c r="H6" s="11">
        <f>get_is_shrub(ВедомостьТаксации[[#This Row],[Наименование]])</f>
        <v>0</v>
      </c>
      <c r="I6" s="9">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6" s="9">
        <f>identification_stump(ВедомостьТаксации[[#This Row],[Высота]],ВедомостьТаксации[[#This Row],[Толщина]],ВедомостьТаксации[[#This Row],[Кустарник]])</f>
        <v>0</v>
      </c>
      <c r="K6" s="13" t="str">
        <f>insert_stump(ВедомостьТаксации[[#This Row],[Наименование]],ВедомостьТаксации[[#This Row],[Пень]])</f>
        <v>Ива ломкая</v>
      </c>
      <c r="L6" s="16"/>
    </row>
    <row r="7" spans="1:12" s="8" customFormat="1" x14ac:dyDescent="0.25">
      <c r="A7" s="3">
        <v>5</v>
      </c>
      <c r="B7" s="17" t="s">
        <v>72</v>
      </c>
      <c r="C7" s="4" t="s">
        <v>30</v>
      </c>
      <c r="D7" s="4">
        <v>1</v>
      </c>
      <c r="E7" s="4">
        <v>2.5</v>
      </c>
      <c r="F7" s="4">
        <v>1</v>
      </c>
      <c r="G7" s="4" t="s">
        <v>21</v>
      </c>
      <c r="H7" s="11">
        <f>get_is_shrub(ВедомостьТаксации[[#This Row],[Наименование]])</f>
        <v>0</v>
      </c>
      <c r="I7" s="9">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7" s="9">
        <f>identification_stump(ВедомостьТаксации[[#This Row],[Высота]],ВедомостьТаксации[[#This Row],[Толщина]],ВедомостьТаксации[[#This Row],[Кустарник]])</f>
        <v>0</v>
      </c>
      <c r="K7" s="13" t="str">
        <f>insert_stump(ВедомостьТаксации[[#This Row],[Наименование]],ВедомостьТаксации[[#This Row],[Пень]])</f>
        <v>береза</v>
      </c>
      <c r="L7" s="16"/>
    </row>
    <row r="8" spans="1:12" x14ac:dyDescent="0.25">
      <c r="A8" s="10">
        <v>6</v>
      </c>
      <c r="B8" s="17" t="s">
        <v>73</v>
      </c>
      <c r="C8" s="4" t="s">
        <v>30</v>
      </c>
      <c r="D8" s="4" t="s">
        <v>40</v>
      </c>
      <c r="E8" s="4">
        <v>1.5</v>
      </c>
      <c r="F8" s="4">
        <v>1</v>
      </c>
      <c r="G8" s="4" t="s">
        <v>21</v>
      </c>
      <c r="H8" s="11">
        <f>get_is_shrub(ВедомостьТаксации[[#This Row],[Наименование]])</f>
        <v>0</v>
      </c>
      <c r="I8"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8" s="9">
        <f>identification_stump(ВедомостьТаксации[[#This Row],[Высота]],ВедомостьТаксации[[#This Row],[Толщина]],ВедомостьТаксации[[#This Row],[Кустарник]])</f>
        <v>0</v>
      </c>
      <c r="K8" s="13" t="str">
        <f>insert_stump(ВедомостьТаксации[[#This Row],[Наименование]],ВедомостьТаксации[[#This Row],[Пень]])</f>
        <v>береза</v>
      </c>
      <c r="L8" s="16"/>
    </row>
    <row r="9" spans="1:12" x14ac:dyDescent="0.25">
      <c r="A9" s="3">
        <v>7</v>
      </c>
      <c r="B9" s="17" t="s">
        <v>74</v>
      </c>
      <c r="C9" s="4" t="s">
        <v>32</v>
      </c>
      <c r="D9" s="4" t="s">
        <v>40</v>
      </c>
      <c r="E9" s="4">
        <v>2</v>
      </c>
      <c r="F9" s="4">
        <v>0.06</v>
      </c>
      <c r="G9" s="4" t="s">
        <v>21</v>
      </c>
      <c r="H9" s="11">
        <f>get_is_shrub(ВедомостьТаксации[[#This Row],[Наименование]])</f>
        <v>0</v>
      </c>
      <c r="I9"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9" s="9">
        <f>identification_stump(ВедомостьТаксации[[#This Row],[Высота]],ВедомостьТаксации[[#This Row],[Толщина]],ВедомостьТаксации[[#This Row],[Кустарник]])</f>
        <v>0</v>
      </c>
      <c r="K9" s="13" t="str">
        <f>insert_stump(ВедомостьТаксации[[#This Row],[Наименование]],ВедомостьТаксации[[#This Row],[Пень]])</f>
        <v>ольха</v>
      </c>
      <c r="L9" s="16"/>
    </row>
    <row r="10" spans="1:12" x14ac:dyDescent="0.25">
      <c r="A10" s="10">
        <v>8</v>
      </c>
      <c r="B10" s="17" t="s">
        <v>75</v>
      </c>
      <c r="C10" s="4" t="s">
        <v>41</v>
      </c>
      <c r="D10" s="4" t="s">
        <v>23</v>
      </c>
      <c r="E10" s="4" t="s">
        <v>44</v>
      </c>
      <c r="F10" s="4" t="s">
        <v>59</v>
      </c>
      <c r="G10" s="4" t="s">
        <v>21</v>
      </c>
      <c r="H10" s="11">
        <f>get_is_shrub(ВедомостьТаксации[[#This Row],[Наименование]])</f>
        <v>0</v>
      </c>
      <c r="I10"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0" s="9">
        <f>identification_stump(ВедомостьТаксации[[#This Row],[Высота]],ВедомостьТаксации[[#This Row],[Толщина]],ВедомостьТаксации[[#This Row],[Кустарник]])</f>
        <v>0</v>
      </c>
      <c r="K10" s="13" t="str">
        <f>insert_stump(ВедомостьТаксации[[#This Row],[Наименование]],ВедомостьТаксации[[#This Row],[Пень]])</f>
        <v>Яблоня домашняя</v>
      </c>
      <c r="L10" s="16"/>
    </row>
    <row r="11" spans="1:12" x14ac:dyDescent="0.25">
      <c r="A11" s="3">
        <v>9</v>
      </c>
      <c r="B11" s="17" t="s">
        <v>76</v>
      </c>
      <c r="C11" s="4" t="s">
        <v>41</v>
      </c>
      <c r="D11" s="4">
        <v>4</v>
      </c>
      <c r="E11" s="4" t="s">
        <v>42</v>
      </c>
      <c r="F11" s="4" t="s">
        <v>43</v>
      </c>
      <c r="G11" s="4" t="s">
        <v>21</v>
      </c>
      <c r="H11" s="11">
        <f>get_is_shrub(ВедомостьТаксации[[#This Row],[Наименование]])</f>
        <v>0</v>
      </c>
      <c r="I11"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1" s="9">
        <f>identification_stump(ВедомостьТаксации[[#This Row],[Высота]],ВедомостьТаксации[[#This Row],[Толщина]],ВедомостьТаксации[[#This Row],[Кустарник]])</f>
        <v>0</v>
      </c>
      <c r="K11" s="13" t="str">
        <f>insert_stump(ВедомостьТаксации[[#This Row],[Наименование]],ВедомостьТаксации[[#This Row],[Пень]])</f>
        <v>Яблоня домашняя</v>
      </c>
      <c r="L11" s="16"/>
    </row>
    <row r="12" spans="1:12" x14ac:dyDescent="0.25">
      <c r="A12" s="10">
        <v>10</v>
      </c>
      <c r="B12" s="17" t="s">
        <v>77</v>
      </c>
      <c r="C12" s="4" t="s">
        <v>41</v>
      </c>
      <c r="D12" s="4">
        <v>3</v>
      </c>
      <c r="E12" s="4" t="s">
        <v>57</v>
      </c>
      <c r="F12" s="4" t="s">
        <v>58</v>
      </c>
      <c r="G12" s="4" t="s">
        <v>21</v>
      </c>
      <c r="H12" s="11">
        <f>get_is_shrub(ВедомостьТаксации[[#This Row],[Наименование]])</f>
        <v>0</v>
      </c>
      <c r="I12"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2" s="9">
        <f>identification_stump(ВедомостьТаксации[[#This Row],[Высота]],ВедомостьТаксации[[#This Row],[Толщина]],ВедомостьТаксации[[#This Row],[Кустарник]])</f>
        <v>0</v>
      </c>
      <c r="K12" s="13" t="str">
        <f>insert_stump(ВедомостьТаксации[[#This Row],[Наименование]],ВедомостьТаксации[[#This Row],[Пень]])</f>
        <v>Яблоня домашняя</v>
      </c>
      <c r="L12" s="16"/>
    </row>
    <row r="13" spans="1:12" x14ac:dyDescent="0.25">
      <c r="A13" s="3">
        <v>11</v>
      </c>
      <c r="B13" s="17" t="s">
        <v>78</v>
      </c>
      <c r="C13" s="4" t="s">
        <v>41</v>
      </c>
      <c r="D13" s="4" t="s">
        <v>23</v>
      </c>
      <c r="E13" s="4" t="s">
        <v>44</v>
      </c>
      <c r="F13" s="4" t="s">
        <v>59</v>
      </c>
      <c r="G13" s="4" t="s">
        <v>28</v>
      </c>
      <c r="H13" s="11">
        <f>get_is_shrub(ВедомостьТаксации[[#This Row],[Наименование]])</f>
        <v>0</v>
      </c>
      <c r="I13"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3" s="9">
        <f>identification_stump(ВедомостьТаксации[[#This Row],[Высота]],ВедомостьТаксации[[#This Row],[Толщина]],ВедомостьТаксации[[#This Row],[Кустарник]])</f>
        <v>0</v>
      </c>
      <c r="K13" s="13" t="str">
        <f>insert_stump(ВедомостьТаксации[[#This Row],[Наименование]],ВедомостьТаксации[[#This Row],[Пень]])</f>
        <v>Яблоня домашняя</v>
      </c>
      <c r="L13" s="16"/>
    </row>
    <row r="14" spans="1:12" x14ac:dyDescent="0.25">
      <c r="A14" s="3">
        <v>12</v>
      </c>
      <c r="B14" s="17" t="s">
        <v>79</v>
      </c>
      <c r="C14" s="4" t="s">
        <v>41</v>
      </c>
      <c r="D14" s="4" t="s">
        <v>23</v>
      </c>
      <c r="E14" s="4" t="s">
        <v>44</v>
      </c>
      <c r="F14" s="4" t="s">
        <v>59</v>
      </c>
      <c r="G14" s="4" t="s">
        <v>28</v>
      </c>
      <c r="H14" s="19">
        <f>get_is_shrub(ВедомостьТаксации[[#This Row],[Наименование]])</f>
        <v>0</v>
      </c>
      <c r="I14" s="14">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4" s="13">
        <f>identification_stump(ВедомостьТаксации[[#This Row],[Высота]],ВедомостьТаксации[[#This Row],[Толщина]],ВедомостьТаксации[[#This Row],[Кустарник]])</f>
        <v>0</v>
      </c>
      <c r="K14" s="13" t="str">
        <f>insert_stump(ВедомостьТаксации[[#This Row],[Наименование]],ВедомостьТаксации[[#This Row],[Пень]])</f>
        <v>Яблоня домашняя</v>
      </c>
      <c r="L14" s="16"/>
    </row>
    <row r="15" spans="1:12" x14ac:dyDescent="0.25">
      <c r="A15" s="3">
        <v>13</v>
      </c>
      <c r="B15" s="18" t="s">
        <v>80</v>
      </c>
      <c r="C15" s="12" t="s">
        <v>29</v>
      </c>
      <c r="D15" s="12" t="s">
        <v>45</v>
      </c>
      <c r="E15" s="12">
        <v>0.2</v>
      </c>
      <c r="F15" s="12">
        <v>7.0000000000000007E-2</v>
      </c>
      <c r="G15" s="12" t="s">
        <v>21</v>
      </c>
      <c r="H15" s="11">
        <f>get_is_shrub(ВедомостьТаксации[[#This Row],[Наименование]])</f>
        <v>0</v>
      </c>
      <c r="I15"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5" s="9">
        <f>identification_stump(ВедомостьТаксации[[#This Row],[Высота]],ВедомостьТаксации[[#This Row],[Толщина]],ВедомостьТаксации[[#This Row],[Кустарник]])</f>
        <v>1</v>
      </c>
      <c r="K15" s="13" t="str">
        <f>insert_stump(ВедомостьТаксации[[#This Row],[Наименование]],ВедомостьТаксации[[#This Row],[Пень]])</f>
        <v>Алыча (пень)</v>
      </c>
      <c r="L15" s="16"/>
    </row>
    <row r="16" spans="1:12" x14ac:dyDescent="0.25">
      <c r="A16" s="10">
        <v>14</v>
      </c>
      <c r="B16" s="17" t="s">
        <v>37</v>
      </c>
      <c r="C16" s="4" t="s">
        <v>29</v>
      </c>
      <c r="D16" s="4" t="s">
        <v>46</v>
      </c>
      <c r="E16" s="4">
        <v>3</v>
      </c>
      <c r="F16" s="4">
        <v>0.12</v>
      </c>
      <c r="G16" s="4" t="s">
        <v>21</v>
      </c>
      <c r="H16" s="11">
        <f>get_is_shrub(ВедомостьТаксации[[#This Row],[Наименование]])</f>
        <v>0</v>
      </c>
      <c r="I16"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6" s="9">
        <f>identification_stump(ВедомостьТаксации[[#This Row],[Высота]],ВедомостьТаксации[[#This Row],[Толщина]],ВедомостьТаксации[[#This Row],[Кустарник]])</f>
        <v>0</v>
      </c>
      <c r="K16" s="13" t="str">
        <f>insert_stump(ВедомостьТаксации[[#This Row],[Наименование]],ВедомостьТаксации[[#This Row],[Пень]])</f>
        <v>Алыча</v>
      </c>
      <c r="L16" s="16"/>
    </row>
    <row r="17" spans="1:12" x14ac:dyDescent="0.25">
      <c r="A17" s="3">
        <v>15</v>
      </c>
      <c r="B17" s="17" t="s">
        <v>81</v>
      </c>
      <c r="C17" s="4" t="s">
        <v>24</v>
      </c>
      <c r="D17" s="4" t="s">
        <v>47</v>
      </c>
      <c r="E17" s="4">
        <v>0.5</v>
      </c>
      <c r="F17" s="4" t="s">
        <v>22</v>
      </c>
      <c r="G17" s="4" t="s">
        <v>21</v>
      </c>
      <c r="H17" s="11">
        <f>get_is_shrub(ВедомостьТаксации[[#This Row],[Наименование]])</f>
        <v>1</v>
      </c>
      <c r="I17"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7" s="9">
        <f>identification_stump(ВедомостьТаксации[[#This Row],[Высота]],ВедомостьТаксации[[#This Row],[Толщина]],ВедомостьТаксации[[#This Row],[Кустарник]])</f>
        <v>0</v>
      </c>
      <c r="K17" s="13" t="str">
        <f>insert_stump(ВедомостьТаксации[[#This Row],[Наименование]],ВедомостьТаксации[[#This Row],[Пень]])</f>
        <v>Смородина чёрная</v>
      </c>
      <c r="L17" s="16"/>
    </row>
    <row r="18" spans="1:12" x14ac:dyDescent="0.25">
      <c r="A18" s="10">
        <v>16</v>
      </c>
      <c r="B18" s="17" t="s">
        <v>82</v>
      </c>
      <c r="C18" s="4" t="s">
        <v>24</v>
      </c>
      <c r="D18" s="4">
        <v>1</v>
      </c>
      <c r="E18" s="4">
        <v>0.5</v>
      </c>
      <c r="F18" s="4" t="s">
        <v>22</v>
      </c>
      <c r="G18" s="4" t="s">
        <v>21</v>
      </c>
      <c r="H18" s="11">
        <f>get_is_shrub(ВедомостьТаксации[[#This Row],[Наименование]])</f>
        <v>1</v>
      </c>
      <c r="I18"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8" s="9">
        <f>identification_stump(ВедомостьТаксации[[#This Row],[Высота]],ВедомостьТаксации[[#This Row],[Толщина]],ВедомостьТаксации[[#This Row],[Кустарник]])</f>
        <v>0</v>
      </c>
      <c r="K18" s="13" t="str">
        <f>insert_stump(ВедомостьТаксации[[#This Row],[Наименование]],ВедомостьТаксации[[#This Row],[Пень]])</f>
        <v>Смородина чёрная</v>
      </c>
      <c r="L18" s="16"/>
    </row>
    <row r="19" spans="1:12" x14ac:dyDescent="0.25">
      <c r="A19" s="3">
        <v>17</v>
      </c>
      <c r="B19" s="17" t="s">
        <v>48</v>
      </c>
      <c r="C19" s="4" t="s">
        <v>49</v>
      </c>
      <c r="D19" s="4">
        <v>3</v>
      </c>
      <c r="E19" s="4">
        <v>0.4</v>
      </c>
      <c r="F19" s="4">
        <v>0.01</v>
      </c>
      <c r="G19" s="4" t="s">
        <v>21</v>
      </c>
      <c r="H19" s="11">
        <f>get_is_shrub(ВедомостьТаксации[[#This Row],[Наименование]])</f>
        <v>0</v>
      </c>
      <c r="I19"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9" s="9">
        <f>identification_stump(ВедомостьТаксации[[#This Row],[Высота]],ВедомостьТаксации[[#This Row],[Толщина]],ВедомостьТаксации[[#This Row],[Кустарник]])</f>
        <v>0</v>
      </c>
      <c r="K19" s="13" t="str">
        <f>insert_stump(ВедомостьТаксации[[#This Row],[Наименование]],ВедомостьТаксации[[#This Row],[Пень]])</f>
        <v>Берёза пушистая</v>
      </c>
      <c r="L19" s="16"/>
    </row>
    <row r="20" spans="1:12" x14ac:dyDescent="0.25">
      <c r="A20" s="10">
        <v>18</v>
      </c>
      <c r="B20" s="17" t="s">
        <v>50</v>
      </c>
      <c r="C20" s="4" t="s">
        <v>49</v>
      </c>
      <c r="D20" s="4">
        <v>1</v>
      </c>
      <c r="E20" s="4">
        <v>0.4</v>
      </c>
      <c r="F20" s="4">
        <v>0.01</v>
      </c>
      <c r="G20" s="4" t="s">
        <v>21</v>
      </c>
      <c r="H20" s="11">
        <f>get_is_shrub(ВедомостьТаксации[[#This Row],[Наименование]])</f>
        <v>0</v>
      </c>
      <c r="I20"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0" s="9">
        <f>identification_stump(ВедомостьТаксации[[#This Row],[Высота]],ВедомостьТаксации[[#This Row],[Толщина]],ВедомостьТаксации[[#This Row],[Кустарник]])</f>
        <v>0</v>
      </c>
      <c r="K20" s="13" t="str">
        <f>insert_stump(ВедомостьТаксации[[#This Row],[Наименование]],ВедомостьТаксации[[#This Row],[Пень]])</f>
        <v>Берёза пушистая</v>
      </c>
      <c r="L20" s="16"/>
    </row>
    <row r="21" spans="1:12" x14ac:dyDescent="0.25">
      <c r="A21" s="3">
        <v>19</v>
      </c>
      <c r="B21" s="17" t="s">
        <v>51</v>
      </c>
      <c r="C21" s="6" t="s">
        <v>34</v>
      </c>
      <c r="D21" s="4">
        <v>4</v>
      </c>
      <c r="E21" s="4" t="s">
        <v>26</v>
      </c>
      <c r="F21" s="4" t="s">
        <v>52</v>
      </c>
      <c r="G21" s="4" t="s">
        <v>21</v>
      </c>
      <c r="H21" s="11">
        <f>get_is_shrub(ВедомостьТаксации[[#This Row],[Наименование]])</f>
        <v>0</v>
      </c>
      <c r="I21"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1" s="9">
        <f>identification_stump(ВедомостьТаксации[[#This Row],[Высота]],ВедомостьТаксации[[#This Row],[Толщина]],ВедомостьТаксации[[#This Row],[Кустарник]])</f>
        <v>0</v>
      </c>
      <c r="K21" s="13" t="str">
        <f>insert_stump(ВедомостьТаксации[[#This Row],[Наименование]],ВедомостьТаксации[[#This Row],[Пень]])</f>
        <v>Ольха серая</v>
      </c>
      <c r="L21" s="16"/>
    </row>
    <row r="22" spans="1:12" x14ac:dyDescent="0.25">
      <c r="A22" s="10">
        <v>20</v>
      </c>
      <c r="B22" s="17" t="s">
        <v>53</v>
      </c>
      <c r="C22" s="4" t="s">
        <v>49</v>
      </c>
      <c r="D22" s="4">
        <v>2</v>
      </c>
      <c r="E22" s="4">
        <v>0.4</v>
      </c>
      <c r="F22" s="4">
        <v>0.01</v>
      </c>
      <c r="G22" s="4" t="s">
        <v>21</v>
      </c>
      <c r="H22" s="11">
        <f>get_is_shrub(ВедомостьТаксации[[#This Row],[Наименование]])</f>
        <v>0</v>
      </c>
      <c r="I22"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2" s="9">
        <f>identification_stump(ВедомостьТаксации[[#This Row],[Высота]],ВедомостьТаксации[[#This Row],[Толщина]],ВедомостьТаксации[[#This Row],[Кустарник]])</f>
        <v>0</v>
      </c>
      <c r="K22" s="13" t="str">
        <f>insert_stump(ВедомостьТаксации[[#This Row],[Наименование]],ВедомостьТаксации[[#This Row],[Пень]])</f>
        <v>Берёза пушистая</v>
      </c>
      <c r="L22" s="16"/>
    </row>
    <row r="23" spans="1:12" x14ac:dyDescent="0.25">
      <c r="A23" s="3">
        <v>21</v>
      </c>
      <c r="B23" s="17" t="s">
        <v>89</v>
      </c>
      <c r="C23" s="4" t="s">
        <v>49</v>
      </c>
      <c r="D23" s="4">
        <v>3</v>
      </c>
      <c r="E23" s="4">
        <v>0.4</v>
      </c>
      <c r="F23" s="4">
        <v>1.2E-2</v>
      </c>
      <c r="G23" s="4" t="s">
        <v>21</v>
      </c>
      <c r="H23" s="11">
        <f>get_is_shrub(ВедомостьТаксации[[#This Row],[Наименование]])</f>
        <v>0</v>
      </c>
      <c r="I23"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3" s="9">
        <f>identification_stump(ВедомостьТаксации[[#This Row],[Высота]],ВедомостьТаксации[[#This Row],[Толщина]],ВедомостьТаксации[[#This Row],[Кустарник]])</f>
        <v>0</v>
      </c>
      <c r="K23" s="13" t="str">
        <f>insert_stump(ВедомостьТаксации[[#This Row],[Наименование]],ВедомостьТаксации[[#This Row],[Пень]])</f>
        <v>Берёза пушистая</v>
      </c>
      <c r="L23" s="16"/>
    </row>
    <row r="24" spans="1:12" x14ac:dyDescent="0.25">
      <c r="A24" s="10">
        <v>22</v>
      </c>
      <c r="B24" s="17" t="s">
        <v>54</v>
      </c>
      <c r="C24" s="4" t="s">
        <v>49</v>
      </c>
      <c r="D24" s="4" t="s">
        <v>25</v>
      </c>
      <c r="E24" s="4" t="s">
        <v>57</v>
      </c>
      <c r="F24" s="4" t="s">
        <v>58</v>
      </c>
      <c r="G24" s="4" t="s">
        <v>21</v>
      </c>
      <c r="H24" s="11">
        <f>get_is_shrub(ВедомостьТаксации[[#This Row],[Наименование]])</f>
        <v>0</v>
      </c>
      <c r="I24"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4" s="9">
        <f>identification_stump(ВедомостьТаксации[[#This Row],[Высота]],ВедомостьТаксации[[#This Row],[Толщина]],ВедомостьТаксации[[#This Row],[Кустарник]])</f>
        <v>0</v>
      </c>
      <c r="K24" s="13" t="str">
        <f>insert_stump(ВедомостьТаксации[[#This Row],[Наименование]],ВедомостьТаксации[[#This Row],[Пень]])</f>
        <v>Берёза пушистая</v>
      </c>
      <c r="L24" s="16"/>
    </row>
    <row r="25" spans="1:12" x14ac:dyDescent="0.25">
      <c r="A25" s="3">
        <v>23</v>
      </c>
      <c r="B25" s="17" t="s">
        <v>91</v>
      </c>
      <c r="C25" s="4" t="s">
        <v>49</v>
      </c>
      <c r="D25" s="4" t="s">
        <v>25</v>
      </c>
      <c r="E25" s="4" t="s">
        <v>57</v>
      </c>
      <c r="F25" s="4" t="s">
        <v>58</v>
      </c>
      <c r="G25" s="4" t="s">
        <v>21</v>
      </c>
      <c r="H25" s="11">
        <f>get_is_shrub(ВедомостьТаксации[[#This Row],[Наименование]])</f>
        <v>0</v>
      </c>
      <c r="I25"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5" s="9">
        <f>identification_stump(ВедомостьТаксации[[#This Row],[Высота]],ВедомостьТаксации[[#This Row],[Толщина]],ВедомостьТаксации[[#This Row],[Кустарник]])</f>
        <v>0</v>
      </c>
      <c r="K25" s="13" t="str">
        <f>insert_stump(ВедомостьТаксации[[#This Row],[Наименование]],ВедомостьТаксации[[#This Row],[Пень]])</f>
        <v>Берёза пушистая</v>
      </c>
      <c r="L25" s="16"/>
    </row>
    <row r="26" spans="1:12" x14ac:dyDescent="0.25">
      <c r="A26" s="10">
        <v>24</v>
      </c>
      <c r="B26" s="17" t="s">
        <v>55</v>
      </c>
      <c r="C26" s="4" t="s">
        <v>49</v>
      </c>
      <c r="D26" s="4">
        <v>2</v>
      </c>
      <c r="E26" s="4">
        <v>0.6</v>
      </c>
      <c r="F26" s="4">
        <v>5</v>
      </c>
      <c r="G26" s="4" t="s">
        <v>21</v>
      </c>
      <c r="H26" s="11">
        <f>get_is_shrub(ВедомостьТаксации[[#This Row],[Наименование]])</f>
        <v>0</v>
      </c>
      <c r="I26"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6" s="9">
        <f>identification_stump(ВедомостьТаксации[[#This Row],[Высота]],ВедомостьТаксации[[#This Row],[Толщина]],ВедомостьТаксации[[#This Row],[Кустарник]])</f>
        <v>1</v>
      </c>
      <c r="K26" s="13" t="str">
        <f>insert_stump(ВедомостьТаксации[[#This Row],[Наименование]],ВедомостьТаксации[[#This Row],[Пень]])</f>
        <v>Берёза пушистая (пень)</v>
      </c>
      <c r="L26" s="16"/>
    </row>
    <row r="27" spans="1:12" x14ac:dyDescent="0.25">
      <c r="A27" s="3">
        <v>25</v>
      </c>
      <c r="B27" s="18" t="s">
        <v>90</v>
      </c>
      <c r="C27" s="12" t="s">
        <v>49</v>
      </c>
      <c r="D27" s="12" t="s">
        <v>56</v>
      </c>
      <c r="E27" s="12">
        <v>1.5</v>
      </c>
      <c r="F27" s="12">
        <v>0.03</v>
      </c>
      <c r="G27" s="12" t="s">
        <v>21</v>
      </c>
      <c r="H27" s="11">
        <f>get_is_shrub(ВедомостьТаксации[[#This Row],[Наименование]])</f>
        <v>0</v>
      </c>
      <c r="I27"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7" s="9">
        <f>identification_stump(ВедомостьТаксации[[#This Row],[Высота]],ВедомостьТаксации[[#This Row],[Толщина]],ВедомостьТаксации[[#This Row],[Кустарник]])</f>
        <v>0</v>
      </c>
      <c r="K27" s="13" t="str">
        <f>insert_stump(ВедомостьТаксации[[#This Row],[Наименование]],ВедомостьТаксации[[#This Row],[Пень]])</f>
        <v>Берёза пушистая</v>
      </c>
      <c r="L27" s="16"/>
    </row>
    <row r="32" spans="1:12" x14ac:dyDescent="0.25">
      <c r="D32" s="7"/>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CC7D-DF2C-4BC3-B7E3-2392A8147EEA}">
  <sheetPr codeName="Лист2"/>
  <dimension ref="A1:G37"/>
  <sheetViews>
    <sheetView tabSelected="1" workbookViewId="0">
      <selection activeCell="I11" sqref="I11"/>
    </sheetView>
  </sheetViews>
  <sheetFormatPr defaultRowHeight="15.75" x14ac:dyDescent="0.25"/>
  <cols>
    <col min="1" max="1" width="15.5" style="20" customWidth="1"/>
    <col min="2" max="3" width="17.5" style="20" customWidth="1"/>
    <col min="4" max="4" width="14.125" style="20" customWidth="1"/>
    <col min="5" max="5" width="18" style="20" customWidth="1"/>
    <col min="6" max="6" width="11" style="20" customWidth="1"/>
    <col min="7" max="16384" width="9" style="20"/>
  </cols>
  <sheetData>
    <row r="1" spans="1:7" ht="18" customHeight="1" x14ac:dyDescent="0.25">
      <c r="A1" s="20" t="s">
        <v>142</v>
      </c>
      <c r="B1" s="20" t="s">
        <v>92</v>
      </c>
      <c r="C1" s="20" t="s">
        <v>93</v>
      </c>
      <c r="D1" s="20" t="s">
        <v>94</v>
      </c>
      <c r="E1" s="20" t="s">
        <v>95</v>
      </c>
      <c r="F1" s="20" t="s">
        <v>96</v>
      </c>
      <c r="G1" s="20" t="s">
        <v>97</v>
      </c>
    </row>
    <row r="2" spans="1:7" x14ac:dyDescent="0.25">
      <c r="A2" s="21">
        <v>0</v>
      </c>
      <c r="B2" s="21" t="s">
        <v>70</v>
      </c>
      <c r="C2" s="21" t="s">
        <v>98</v>
      </c>
      <c r="D2" s="21" t="s">
        <v>70</v>
      </c>
      <c r="E2" s="20" t="s">
        <v>99</v>
      </c>
      <c r="F2" s="20" t="s">
        <v>98</v>
      </c>
      <c r="G2" s="20" t="s">
        <v>141</v>
      </c>
    </row>
    <row r="3" spans="1:7" x14ac:dyDescent="0.25">
      <c r="A3" s="21">
        <v>1</v>
      </c>
      <c r="B3" s="21" t="s">
        <v>68</v>
      </c>
      <c r="C3" s="21" t="s">
        <v>100</v>
      </c>
      <c r="D3" s="21" t="s">
        <v>68</v>
      </c>
      <c r="E3" s="20" t="s">
        <v>99</v>
      </c>
      <c r="F3" s="20" t="s">
        <v>100</v>
      </c>
      <c r="G3" s="20" t="s">
        <v>141</v>
      </c>
    </row>
    <row r="4" spans="1:7" x14ac:dyDescent="0.25">
      <c r="A4" s="21">
        <v>2</v>
      </c>
      <c r="B4" s="21" t="s">
        <v>69</v>
      </c>
      <c r="C4" s="21" t="s">
        <v>101</v>
      </c>
      <c r="D4" s="21" t="s">
        <v>69</v>
      </c>
      <c r="E4" s="21" t="s">
        <v>99</v>
      </c>
      <c r="F4" s="20" t="s">
        <v>101</v>
      </c>
      <c r="G4" s="20" t="s">
        <v>141</v>
      </c>
    </row>
    <row r="5" spans="1:7" x14ac:dyDescent="0.25">
      <c r="A5" s="21">
        <v>3</v>
      </c>
      <c r="B5" s="21" t="s">
        <v>71</v>
      </c>
      <c r="C5" s="21" t="s">
        <v>102</v>
      </c>
      <c r="D5" s="21" t="s">
        <v>71</v>
      </c>
      <c r="E5" s="21" t="s">
        <v>99</v>
      </c>
      <c r="F5" s="20" t="s">
        <v>102</v>
      </c>
      <c r="G5" s="20" t="s">
        <v>141</v>
      </c>
    </row>
    <row r="6" spans="1:7" x14ac:dyDescent="0.25">
      <c r="A6" s="21">
        <v>4</v>
      </c>
      <c r="B6" s="21" t="s">
        <v>72</v>
      </c>
      <c r="C6" s="21" t="s">
        <v>103</v>
      </c>
      <c r="D6" s="21" t="s">
        <v>72</v>
      </c>
      <c r="E6" s="21" t="s">
        <v>99</v>
      </c>
      <c r="F6" s="20" t="s">
        <v>103</v>
      </c>
      <c r="G6" s="20" t="s">
        <v>141</v>
      </c>
    </row>
    <row r="7" spans="1:7" x14ac:dyDescent="0.25">
      <c r="A7" s="21">
        <v>5</v>
      </c>
      <c r="B7" s="21" t="s">
        <v>75</v>
      </c>
      <c r="C7" s="21" t="s">
        <v>104</v>
      </c>
      <c r="D7" s="21" t="s">
        <v>75</v>
      </c>
      <c r="E7" s="21" t="s">
        <v>99</v>
      </c>
      <c r="F7" s="20" t="s">
        <v>104</v>
      </c>
      <c r="G7" s="20" t="s">
        <v>141</v>
      </c>
    </row>
    <row r="8" spans="1:7" x14ac:dyDescent="0.25">
      <c r="A8" s="21">
        <v>6</v>
      </c>
      <c r="B8" s="21" t="s">
        <v>76</v>
      </c>
      <c r="C8" s="21" t="s">
        <v>105</v>
      </c>
      <c r="D8" s="21" t="s">
        <v>76</v>
      </c>
      <c r="E8" s="21" t="s">
        <v>99</v>
      </c>
      <c r="F8" s="20" t="s">
        <v>105</v>
      </c>
      <c r="G8" s="20" t="s">
        <v>141</v>
      </c>
    </row>
    <row r="9" spans="1:7" x14ac:dyDescent="0.25">
      <c r="A9" s="21">
        <v>7</v>
      </c>
      <c r="B9" s="21" t="s">
        <v>77</v>
      </c>
      <c r="C9" s="21" t="s">
        <v>106</v>
      </c>
      <c r="D9" s="21" t="s">
        <v>77</v>
      </c>
      <c r="E9" s="21" t="s">
        <v>99</v>
      </c>
      <c r="F9" s="20" t="s">
        <v>106</v>
      </c>
      <c r="G9" s="20" t="s">
        <v>141</v>
      </c>
    </row>
    <row r="10" spans="1:7" x14ac:dyDescent="0.25">
      <c r="A10" s="21">
        <v>8</v>
      </c>
      <c r="B10" s="21" t="s">
        <v>79</v>
      </c>
      <c r="C10" s="21" t="s">
        <v>107</v>
      </c>
      <c r="D10" s="21" t="s">
        <v>79</v>
      </c>
      <c r="E10" s="21" t="s">
        <v>99</v>
      </c>
      <c r="F10" s="20" t="s">
        <v>107</v>
      </c>
      <c r="G10" s="20" t="s">
        <v>141</v>
      </c>
    </row>
    <row r="11" spans="1:7" x14ac:dyDescent="0.25">
      <c r="A11" s="21">
        <v>9</v>
      </c>
      <c r="B11" s="21" t="s">
        <v>78</v>
      </c>
      <c r="C11" s="21" t="s">
        <v>108</v>
      </c>
      <c r="D11" s="21" t="s">
        <v>78</v>
      </c>
      <c r="E11" s="21" t="s">
        <v>99</v>
      </c>
      <c r="F11" s="20" t="s">
        <v>108</v>
      </c>
      <c r="G11" s="20" t="s">
        <v>141</v>
      </c>
    </row>
    <row r="12" spans="1:7" x14ac:dyDescent="0.25">
      <c r="A12" s="21">
        <v>10</v>
      </c>
      <c r="B12" s="21" t="s">
        <v>82</v>
      </c>
      <c r="C12" s="21" t="s">
        <v>109</v>
      </c>
      <c r="D12" s="21" t="s">
        <v>82</v>
      </c>
      <c r="E12" s="21" t="s">
        <v>99</v>
      </c>
      <c r="F12" s="20" t="s">
        <v>109</v>
      </c>
      <c r="G12" s="20" t="s">
        <v>141</v>
      </c>
    </row>
    <row r="13" spans="1:7" x14ac:dyDescent="0.25">
      <c r="A13" s="21">
        <v>11</v>
      </c>
      <c r="B13" s="21" t="s">
        <v>110</v>
      </c>
      <c r="C13" s="21" t="s">
        <v>111</v>
      </c>
      <c r="D13" s="21" t="s">
        <v>112</v>
      </c>
      <c r="E13" s="21" t="s">
        <v>99</v>
      </c>
      <c r="F13" s="20" t="s">
        <v>111</v>
      </c>
      <c r="G13" s="20" t="s">
        <v>141</v>
      </c>
    </row>
    <row r="14" spans="1:7" x14ac:dyDescent="0.25">
      <c r="A14" s="21">
        <v>12</v>
      </c>
      <c r="B14" s="21" t="s">
        <v>110</v>
      </c>
      <c r="C14" s="21" t="s">
        <v>111</v>
      </c>
      <c r="D14" s="21" t="s">
        <v>113</v>
      </c>
      <c r="E14" s="21" t="s">
        <v>99</v>
      </c>
      <c r="F14" s="20" t="s">
        <v>111</v>
      </c>
      <c r="G14" s="20" t="s">
        <v>141</v>
      </c>
    </row>
    <row r="15" spans="1:7" x14ac:dyDescent="0.25">
      <c r="A15" s="21">
        <v>13</v>
      </c>
      <c r="B15" s="21" t="s">
        <v>110</v>
      </c>
      <c r="C15" s="21" t="s">
        <v>111</v>
      </c>
      <c r="D15" s="21" t="s">
        <v>114</v>
      </c>
      <c r="E15" s="21" t="s">
        <v>99</v>
      </c>
      <c r="F15" s="20" t="s">
        <v>111</v>
      </c>
      <c r="G15" s="20" t="s">
        <v>141</v>
      </c>
    </row>
    <row r="16" spans="1:7" x14ac:dyDescent="0.25">
      <c r="A16" s="21">
        <v>14</v>
      </c>
      <c r="B16" s="21" t="s">
        <v>110</v>
      </c>
      <c r="C16" s="21" t="s">
        <v>111</v>
      </c>
      <c r="D16" s="21" t="s">
        <v>115</v>
      </c>
      <c r="E16" s="21" t="s">
        <v>99</v>
      </c>
      <c r="F16" s="20" t="s">
        <v>111</v>
      </c>
      <c r="G16" s="20" t="s">
        <v>141</v>
      </c>
    </row>
    <row r="17" spans="1:7" x14ac:dyDescent="0.25">
      <c r="A17" s="21">
        <v>15</v>
      </c>
      <c r="B17" s="21" t="s">
        <v>83</v>
      </c>
      <c r="C17" s="21" t="s">
        <v>116</v>
      </c>
      <c r="D17" s="21" t="s">
        <v>83</v>
      </c>
      <c r="E17" s="21" t="s">
        <v>99</v>
      </c>
      <c r="F17" s="20" t="s">
        <v>116</v>
      </c>
      <c r="G17" s="20" t="s">
        <v>141</v>
      </c>
    </row>
    <row r="18" spans="1:7" x14ac:dyDescent="0.25">
      <c r="A18" s="21">
        <v>16</v>
      </c>
      <c r="B18" s="21" t="s">
        <v>84</v>
      </c>
      <c r="C18" s="21" t="s">
        <v>117</v>
      </c>
      <c r="D18" s="21" t="s">
        <v>84</v>
      </c>
      <c r="E18" s="21" t="s">
        <v>99</v>
      </c>
      <c r="F18" s="20" t="s">
        <v>117</v>
      </c>
      <c r="G18" s="20" t="s">
        <v>141</v>
      </c>
    </row>
    <row r="19" spans="1:7" x14ac:dyDescent="0.25">
      <c r="A19" s="21">
        <v>17</v>
      </c>
      <c r="B19" s="21" t="s">
        <v>85</v>
      </c>
      <c r="C19" s="21" t="s">
        <v>118</v>
      </c>
      <c r="D19" s="21" t="s">
        <v>85</v>
      </c>
      <c r="E19" s="21" t="s">
        <v>99</v>
      </c>
      <c r="F19" s="20" t="s">
        <v>118</v>
      </c>
      <c r="G19" s="20" t="s">
        <v>141</v>
      </c>
    </row>
    <row r="20" spans="1:7" x14ac:dyDescent="0.25">
      <c r="A20" s="21">
        <v>18</v>
      </c>
      <c r="B20" s="21" t="s">
        <v>86</v>
      </c>
      <c r="C20" s="21" t="s">
        <v>119</v>
      </c>
      <c r="D20" s="21" t="s">
        <v>86</v>
      </c>
      <c r="E20" s="21" t="s">
        <v>99</v>
      </c>
      <c r="F20" s="20" t="s">
        <v>119</v>
      </c>
      <c r="G20" s="20" t="s">
        <v>141</v>
      </c>
    </row>
    <row r="21" spans="1:7" x14ac:dyDescent="0.25">
      <c r="A21" s="21">
        <v>19</v>
      </c>
      <c r="B21" s="21" t="s">
        <v>53</v>
      </c>
      <c r="C21" s="21" t="s">
        <v>120</v>
      </c>
      <c r="D21" s="21" t="s">
        <v>87</v>
      </c>
      <c r="E21" s="21" t="s">
        <v>99</v>
      </c>
      <c r="F21" s="20" t="s">
        <v>120</v>
      </c>
      <c r="G21" s="20" t="s">
        <v>141</v>
      </c>
    </row>
    <row r="22" spans="1:7" x14ac:dyDescent="0.25">
      <c r="A22" s="21">
        <v>20</v>
      </c>
      <c r="B22" s="21" t="s">
        <v>53</v>
      </c>
      <c r="C22" s="21" t="s">
        <v>120</v>
      </c>
      <c r="D22" s="21" t="s">
        <v>88</v>
      </c>
      <c r="E22" s="21" t="s">
        <v>99</v>
      </c>
      <c r="F22" s="20" t="s">
        <v>120</v>
      </c>
      <c r="G22" s="20" t="s">
        <v>141</v>
      </c>
    </row>
    <row r="23" spans="1:7" x14ac:dyDescent="0.25">
      <c r="A23" s="21">
        <v>21</v>
      </c>
      <c r="B23" s="21" t="s">
        <v>121</v>
      </c>
      <c r="C23" s="21" t="s">
        <v>122</v>
      </c>
      <c r="D23" s="21" t="s">
        <v>89</v>
      </c>
      <c r="E23" s="21" t="s">
        <v>99</v>
      </c>
      <c r="F23" s="20" t="s">
        <v>122</v>
      </c>
      <c r="G23" s="20" t="s">
        <v>141</v>
      </c>
    </row>
    <row r="24" spans="1:7" x14ac:dyDescent="0.25">
      <c r="A24" s="21">
        <v>22</v>
      </c>
      <c r="B24" s="21" t="s">
        <v>121</v>
      </c>
      <c r="C24" s="21" t="s">
        <v>122</v>
      </c>
      <c r="D24" s="21" t="s">
        <v>54</v>
      </c>
      <c r="E24" s="21" t="s">
        <v>99</v>
      </c>
      <c r="F24" s="20" t="s">
        <v>122</v>
      </c>
      <c r="G24" s="20" t="s">
        <v>141</v>
      </c>
    </row>
    <row r="25" spans="1:7" x14ac:dyDescent="0.25">
      <c r="A25" s="21">
        <v>23</v>
      </c>
      <c r="B25" s="21" t="s">
        <v>123</v>
      </c>
      <c r="C25" s="21" t="s">
        <v>124</v>
      </c>
      <c r="D25" s="21" t="s">
        <v>91</v>
      </c>
      <c r="E25" s="21" t="s">
        <v>99</v>
      </c>
      <c r="F25" s="20" t="s">
        <v>124</v>
      </c>
      <c r="G25" s="20" t="s">
        <v>141</v>
      </c>
    </row>
    <row r="26" spans="1:7" x14ac:dyDescent="0.25">
      <c r="A26" s="21">
        <v>24</v>
      </c>
      <c r="B26" s="21" t="s">
        <v>123</v>
      </c>
      <c r="C26" s="21" t="s">
        <v>124</v>
      </c>
      <c r="D26" s="21" t="s">
        <v>143</v>
      </c>
      <c r="E26" s="21" t="s">
        <v>99</v>
      </c>
      <c r="F26" s="20" t="s">
        <v>124</v>
      </c>
      <c r="G26" s="20" t="s">
        <v>141</v>
      </c>
    </row>
    <row r="27" spans="1:7" x14ac:dyDescent="0.25">
      <c r="A27" s="21">
        <v>25</v>
      </c>
      <c r="B27" s="21" t="s">
        <v>123</v>
      </c>
      <c r="C27" s="21" t="s">
        <v>124</v>
      </c>
      <c r="D27" s="21" t="s">
        <v>144</v>
      </c>
      <c r="E27" s="21" t="s">
        <v>99</v>
      </c>
      <c r="F27" s="20" t="s">
        <v>124</v>
      </c>
      <c r="G27" s="20" t="s">
        <v>141</v>
      </c>
    </row>
    <row r="28" spans="1:7" x14ac:dyDescent="0.25">
      <c r="A28" s="21">
        <v>26</v>
      </c>
      <c r="B28" s="21" t="s">
        <v>73</v>
      </c>
      <c r="C28" s="21" t="s">
        <v>125</v>
      </c>
      <c r="D28" s="21" t="s">
        <v>73</v>
      </c>
      <c r="E28" s="21" t="s">
        <v>126</v>
      </c>
      <c r="F28" s="20" t="s">
        <v>127</v>
      </c>
      <c r="G28" s="20">
        <v>72.187968681300205</v>
      </c>
    </row>
    <row r="29" spans="1:7" x14ac:dyDescent="0.25">
      <c r="A29" s="21">
        <v>27</v>
      </c>
      <c r="B29" s="21" t="s">
        <v>74</v>
      </c>
      <c r="C29" s="21" t="s">
        <v>128</v>
      </c>
      <c r="D29" s="21" t="s">
        <v>74</v>
      </c>
      <c r="E29" s="21" t="s">
        <v>126</v>
      </c>
      <c r="F29" s="20" t="s">
        <v>127</v>
      </c>
      <c r="G29" s="20">
        <v>72.187968681300205</v>
      </c>
    </row>
    <row r="30" spans="1:7" x14ac:dyDescent="0.25">
      <c r="A30" s="21">
        <v>28</v>
      </c>
      <c r="B30" s="21" t="s">
        <v>67</v>
      </c>
      <c r="C30" s="21" t="s">
        <v>129</v>
      </c>
      <c r="D30" s="21" t="s">
        <v>67</v>
      </c>
      <c r="E30" s="21" t="s">
        <v>126</v>
      </c>
      <c r="F30" s="20" t="s">
        <v>130</v>
      </c>
      <c r="G30" s="20">
        <v>13.829652249662701</v>
      </c>
    </row>
    <row r="31" spans="1:7" x14ac:dyDescent="0.25">
      <c r="A31" s="21">
        <v>29</v>
      </c>
      <c r="B31" s="21" t="s">
        <v>35</v>
      </c>
      <c r="C31" s="21" t="s">
        <v>131</v>
      </c>
      <c r="D31" s="21" t="s">
        <v>35</v>
      </c>
      <c r="E31" s="21" t="s">
        <v>126</v>
      </c>
      <c r="F31" s="20" t="s">
        <v>130</v>
      </c>
      <c r="G31" s="20">
        <v>13.829652249662701</v>
      </c>
    </row>
    <row r="32" spans="1:7" x14ac:dyDescent="0.25">
      <c r="A32" s="21">
        <v>30</v>
      </c>
      <c r="B32" s="21" t="s">
        <v>80</v>
      </c>
      <c r="C32" s="21" t="s">
        <v>132</v>
      </c>
      <c r="D32" s="21" t="s">
        <v>80</v>
      </c>
      <c r="E32" s="21" t="s">
        <v>133</v>
      </c>
      <c r="F32" s="20" t="s">
        <v>134</v>
      </c>
      <c r="G32" s="20">
        <v>18.868199459209499</v>
      </c>
    </row>
    <row r="33" spans="1:7" x14ac:dyDescent="0.25">
      <c r="A33" s="21">
        <v>31</v>
      </c>
      <c r="B33" s="21" t="s">
        <v>37</v>
      </c>
      <c r="C33" s="21" t="s">
        <v>135</v>
      </c>
      <c r="D33" s="21" t="s">
        <v>37</v>
      </c>
      <c r="E33" s="21" t="s">
        <v>133</v>
      </c>
      <c r="F33" s="20" t="s">
        <v>136</v>
      </c>
      <c r="G33" s="20">
        <v>6.2361215361950597</v>
      </c>
    </row>
    <row r="34" spans="1:7" x14ac:dyDescent="0.25">
      <c r="A34" s="21">
        <v>32</v>
      </c>
      <c r="B34" s="21" t="s">
        <v>81</v>
      </c>
      <c r="C34" s="21" t="s">
        <v>137</v>
      </c>
      <c r="D34" s="21" t="s">
        <v>81</v>
      </c>
      <c r="E34" s="21" t="s">
        <v>126</v>
      </c>
      <c r="F34" s="20" t="s">
        <v>138</v>
      </c>
      <c r="G34" s="20">
        <v>13.404293070651899</v>
      </c>
    </row>
    <row r="35" spans="1:7" x14ac:dyDescent="0.25">
      <c r="A35" s="21">
        <v>33</v>
      </c>
      <c r="B35" s="21" t="s">
        <v>90</v>
      </c>
      <c r="C35" s="21" t="s">
        <v>139</v>
      </c>
      <c r="D35" s="21" t="s">
        <v>90</v>
      </c>
      <c r="E35" s="21" t="s">
        <v>126</v>
      </c>
      <c r="F35" s="20" t="s">
        <v>140</v>
      </c>
      <c r="G35" s="20">
        <v>13.4042930706514</v>
      </c>
    </row>
    <row r="36" spans="1:7" x14ac:dyDescent="0.25">
      <c r="A36" s="21"/>
      <c r="B36" s="21"/>
      <c r="C36" s="21"/>
      <c r="D36" s="21"/>
      <c r="E36" s="21"/>
    </row>
    <row r="37" spans="1:7" x14ac:dyDescent="0.25">
      <c r="A37" s="21"/>
      <c r="B37" s="21"/>
      <c r="C37" s="21"/>
      <c r="D37" s="21"/>
      <c r="E37" s="2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Листы</vt:lpstr>
      </vt:variant>
      <vt:variant>
        <vt:i4>3</vt:i4>
      </vt:variant>
    </vt:vector>
  </HeadingPairs>
  <TitlesOfParts>
    <vt:vector size="3" baseType="lpstr">
      <vt:lpstr>_xlwings.conf</vt:lpstr>
      <vt:lpstr>Ведомость</vt:lpstr>
      <vt:lpstr>Автокад</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Maxim Mislivets</cp:lastModifiedBy>
  <dcterms:created xsi:type="dcterms:W3CDTF">2015-01-25T11:31:25Z</dcterms:created>
  <dcterms:modified xsi:type="dcterms:W3CDTF">2025-01-08T21:57:01Z</dcterms:modified>
</cp:coreProperties>
</file>